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aterialidade" sheetId="2" state="visible" r:id="rId4"/>
    <sheet name="Conciliacoes" sheetId="3" state="visible" r:id="rId5"/>
    <sheet name="Analiticos" sheetId="4" state="visible" r:id="rId6"/>
    <sheet name="Sensibilidade" sheetId="5" state="visible" r:id="rId7"/>
    <sheet name="Amostragem" sheetId="6" state="visible" r:id="rId8"/>
    <sheet name="Amostra" sheetId="7" state="visible" r:id="rId9"/>
    <sheet name="Conc_Base" sheetId="8" state="visible" r:id="rId10"/>
    <sheet name="Erros" sheetId="9" state="visible" r:id="rId11"/>
    <sheet name="Distorco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<sst xmlns="http://schemas.openxmlformats.org/spreadsheetml/2006/main" count="2435" uniqueCount="916">
  <si>
    <t xml:space="preserve">Planilhas de apoio ao dossie de auditoria - SABESP 2025</t>
  </si>
  <si>
    <t xml:space="preserve">Davi Fernandes Bonfim - Matricula 241003473 - Auditoria 1 (UnB, CCA0024, Turma 02). Valores em R$ mil, salvo indicacao.</t>
  </si>
  <si>
    <t xml:space="preserve">Fonte dos dados reais: DFP 2025 e 2024 da SABESP (CVM). Dados da base e da amostra sao SINTETICOS.</t>
  </si>
  <si>
    <t xml:space="preserve">Celulas em azul sao entradas (editaveis); as demais sao formulas. A coluna "Fonte" cita a pagina do PDF da DFP 2025 (F1).</t>
  </si>
  <si>
    <t xml:space="preserve">Abas: Materialidade (PT 320); Conciliacoes (PT 500); Analiticos (PT 520); Sensibilidade (PT 540); Amostragem (PT 530); Amostra (PT 530);</t>
  </si>
  <si>
    <t xml:space="preserve">Conc_Base (T-01); Erros (comparacao dos erros inseridos com os identificados); Distorcoes (PT 450).</t>
  </si>
  <si>
    <t xml:space="preserve">Premissas hardcoded estao identificadas ao lado de cada tabela. Nada aqui e opiniao de auditoria independente.</t>
  </si>
  <si>
    <t xml:space="preserve">PT 320 - Materialidade</t>
  </si>
  <si>
    <t xml:space="preserve">R$ mil, DFP 2025 consolidada (F1, pp. 24-28)</t>
  </si>
  <si>
    <t xml:space="preserve">Base de referencia</t>
  </si>
  <si>
    <t xml:space="preserve">Valor 2025</t>
  </si>
  <si>
    <t xml:space="preserve">Percentual</t>
  </si>
  <si>
    <t xml:space="preserve">Materialidade resultante</t>
  </si>
  <si>
    <t xml:space="preserve">Papel</t>
  </si>
  <si>
    <t xml:space="preserve">Fonte</t>
  </si>
  <si>
    <t xml:space="preserve">Lucro antes dos tributos (LAIR)</t>
  </si>
  <si>
    <t xml:space="preserve">Adotado</t>
  </si>
  <si>
    <t xml:space="preserve">F1, p. 28</t>
  </si>
  <si>
    <t xml:space="preserve">Receita liquida</t>
  </si>
  <si>
    <t xml:space="preserve">Referencia</t>
  </si>
  <si>
    <t xml:space="preserve">Ativo total</t>
  </si>
  <si>
    <t xml:space="preserve">F1, p. 24</t>
  </si>
  <si>
    <t xml:space="preserve">Patrimonio liquido</t>
  </si>
  <si>
    <t xml:space="preserve">F1, p. 27</t>
  </si>
  <si>
    <t xml:space="preserve">Parametro</t>
  </si>
  <si>
    <t xml:space="preserve">Valor</t>
  </si>
  <si>
    <t xml:space="preserve">Premissa</t>
  </si>
  <si>
    <t xml:space="preserve">Calculo</t>
  </si>
  <si>
    <t xml:space="preserve">Materialidade global (MG)</t>
  </si>
  <si>
    <t xml:space="preserve">5% do LAIR</t>
  </si>
  <si>
    <t xml:space="preserve">Percentual da ME sobre a MG</t>
  </si>
  <si>
    <t xml:space="preserve">Julgamento do aluno: auditoria inicial e riscos significativos</t>
  </si>
  <si>
    <t xml:space="preserve">Materialidade para execucao (ME)</t>
  </si>
  <si>
    <t xml:space="preserve">Percentual do limite de distorcoes triviais</t>
  </si>
  <si>
    <t xml:space="preserve">5% da MG</t>
  </si>
  <si>
    <t xml:space="preserve">Limite de distorcoes claramente triviais</t>
  </si>
  <si>
    <t xml:space="preserve">Percentual da materialidade especifica (partes relacionadas)</t>
  </si>
  <si>
    <t xml:space="preserve">Materialidade especifica - partes relacionadas</t>
  </si>
  <si>
    <t xml:space="preserve">Limite de investigacao analitica (25% da ME)</t>
  </si>
  <si>
    <t xml:space="preserve">Premissa do aluno para riscos significativos</t>
  </si>
  <si>
    <t xml:space="preserve">MG como % da receita</t>
  </si>
  <si>
    <t xml:space="preserve">MG como % do ativo</t>
  </si>
  <si>
    <t xml:space="preserve">PT 500 - Conciliacoes (R$ mil, consolidado)</t>
  </si>
  <si>
    <t xml:space="preserve">Entradas em azul vem das notas da DFP 2025 (F1); diferenca deve ser zero</t>
  </si>
  <si>
    <t xml:space="preserve">Conciliacao</t>
  </si>
  <si>
    <t xml:space="preserve">Comp. 1</t>
  </si>
  <si>
    <t xml:space="preserve">Comp. 2</t>
  </si>
  <si>
    <t xml:space="preserve">Comp. 3</t>
  </si>
  <si>
    <t xml:space="preserve">Comp. 4</t>
  </si>
  <si>
    <t xml:space="preserve">Comp. 5</t>
  </si>
  <si>
    <t xml:space="preserve">Comp. 6</t>
  </si>
  <si>
    <t xml:space="preserve">Calculado</t>
  </si>
  <si>
    <t xml:space="preserve">Saldo nas demonstracoes</t>
  </si>
  <si>
    <t xml:space="preserve">Diferenca</t>
  </si>
  <si>
    <t xml:space="preserve">Intangivel: saldo inicial + movimentos</t>
  </si>
  <si>
    <t xml:space="preserve">Nota 14, p. 73; balanco p. 25</t>
  </si>
  <si>
    <t xml:space="preserve">Intangivel: soma das classes</t>
  </si>
  <si>
    <t xml:space="preserve">Nota 14, p. 72</t>
  </si>
  <si>
    <t xml:space="preserve">Ativo de contrato: saldo inicial + movimentos</t>
  </si>
  <si>
    <t xml:space="preserve">Nota 13, p. 69; balanco p. 24</t>
  </si>
  <si>
    <t xml:space="preserve">Ativo financeiro: saldo inicial + movimentos</t>
  </si>
  <si>
    <t xml:space="preserve">Nota 15, p. 79</t>
  </si>
  <si>
    <t xml:space="preserve">Receita liquida pela Nota 30</t>
  </si>
  <si>
    <t xml:space="preserve">Nota 30, p. 131; DRE p. 28</t>
  </si>
  <si>
    <t xml:space="preserve">Receita liquida pela nota de segmentos</t>
  </si>
  <si>
    <t xml:space="preserve">p. 130</t>
  </si>
  <si>
    <t xml:space="preserve">Ativo total: circulante + nao circulante</t>
  </si>
  <si>
    <t xml:space="preserve">Balanco p. 24</t>
  </si>
  <si>
    <t xml:space="preserve">Passivo total: circ. + nao circ. + PL</t>
  </si>
  <si>
    <t xml:space="preserve">Balanco pp. 26-27</t>
  </si>
  <si>
    <t xml:space="preserve">Lucro liquido: LAIR - IR e CSLL</t>
  </si>
  <si>
    <t xml:space="preserve">DRE p. 28</t>
  </si>
  <si>
    <t xml:space="preserve">Variacao de caixa: FCO + investimento + financiamento</t>
  </si>
  <si>
    <t xml:space="preserve">DFC</t>
  </si>
  <si>
    <t xml:space="preserve">Caixa final: saldo inicial + variacao</t>
  </si>
  <si>
    <t xml:space="preserve">Divida liquida: emprestimos - caixa - aplicacoes</t>
  </si>
  <si>
    <t xml:space="preserve">Nota 5, p. 55</t>
  </si>
  <si>
    <t xml:space="preserve">Provisoes judiciais liquidas por tipo</t>
  </si>
  <si>
    <t xml:space="preserve">Nota 23, p. 110</t>
  </si>
  <si>
    <t xml:space="preserve">Total de diferencas absolutas</t>
  </si>
  <si>
    <t xml:space="preserve">PT 520 - Procedimentos analiticos (R$ mil)</t>
  </si>
  <si>
    <t xml:space="preserve">IPCA 2025 = 4,26% (IBGE, F6). Limite de investigacao vem da aba Materialidade.</t>
  </si>
  <si>
    <t xml:space="preserve">IPCA 2025</t>
  </si>
  <si>
    <t xml:space="preserve">Limite de investigacao</t>
  </si>
  <si>
    <t xml:space="preserve">Analitico</t>
  </si>
  <si>
    <t xml:space="preserve">Base 1</t>
  </si>
  <si>
    <t xml:space="preserve">Base 2</t>
  </si>
  <si>
    <t xml:space="preserve">Registrado</t>
  </si>
  <si>
    <t xml:space="preserve">Esperado</t>
  </si>
  <si>
    <t xml:space="preserve">Acima do limite?</t>
  </si>
  <si>
    <t xml:space="preserve">Metodo / premissa</t>
  </si>
  <si>
    <t xml:space="preserve">A1. Receita bruta de saneamento</t>
  </si>
  <si>
    <t xml:space="preserve">Valor de 2024 x (1 + IPCA)</t>
  </si>
  <si>
    <t xml:space="preserve">A2. Atualizacao do ativo financeiro</t>
  </si>
  <si>
    <t xml:space="preserve">Saldo inicial x IPCA + metade das transferencias x IPCA</t>
  </si>
  <si>
    <t xml:space="preserve">A3. Amortizacao do intangivel da URAE-1</t>
  </si>
  <si>
    <t xml:space="preserve">Amortizacao do 2o semestre de 2024 x 2</t>
  </si>
  <si>
    <t xml:space="preserve">A4. IR e CSLL</t>
  </si>
  <si>
    <t xml:space="preserve">34% x (LAIR - equivalencia) - 34% x JCP de R$ 1,8 bi (suposicao do aluno)</t>
  </si>
  <si>
    <t xml:space="preserve">A5. PECLD</t>
  </si>
  <si>
    <t xml:space="preserve">Percentual de 2024 sobre receita bruta x receita bruta de 2025</t>
  </si>
  <si>
    <t xml:space="preserve">A6. Despesas administrativas</t>
  </si>
  <si>
    <t xml:space="preserve">Reconciliacao da PECLD (Nota 10c, p. 60): baixas - recuperacoes - reversoes (2) = despesa</t>
  </si>
  <si>
    <t xml:space="preserve">Componentes</t>
  </si>
  <si>
    <t xml:space="preserve">Diferenca para a PECLD registrada</t>
  </si>
  <si>
    <t xml:space="preserve">PT 540 - Sensibilidade do ativo financeiro (R$ mil)</t>
  </si>
  <si>
    <t xml:space="preserve">Saldo (Nota 15, F1 p. 79). Premissas variaveis em azul.</t>
  </si>
  <si>
    <t xml:space="preserve">Saldo inicial</t>
  </si>
  <si>
    <t xml:space="preserve">Transferencias do ano</t>
  </si>
  <si>
    <t xml:space="preserve">Saldo final</t>
  </si>
  <si>
    <t xml:space="preserve">Base de atualizacao</t>
  </si>
  <si>
    <t xml:space="preserve">Efeito divulgado da mudanca de estimativa (p. 80)</t>
  </si>
  <si>
    <t xml:space="preserve">Premissa variada</t>
  </si>
  <si>
    <t xml:space="preserve">Variacao</t>
  </si>
  <si>
    <t xml:space="preserve">Efeito</t>
  </si>
  <si>
    <t xml:space="preserve">% da MG</t>
  </si>
  <si>
    <t xml:space="preserve">% da ME</t>
  </si>
  <si>
    <t xml:space="preserve">Faixa</t>
  </si>
  <si>
    <t xml:space="preserve">IPCA +/- 1 ponto percentual</t>
  </si>
  <si>
    <t xml:space="preserve">Alcance da majoracao de PIS e Cofins +/- 25%</t>
  </si>
  <si>
    <t xml:space="preserve">Base de ativos reversiveis +/- 5%</t>
  </si>
  <si>
    <t xml:space="preserve">Base de ativos reversiveis +/- 1%</t>
  </si>
  <si>
    <t xml:space="preserve">PT 530 - Amostragem por unidade monetaria (MUS), base SINTETICA</t>
  </si>
  <si>
    <t xml:space="preserve">Parametros editaveis em azul; resultados da execucao do script 03 (valores em R$ mil).</t>
  </si>
  <si>
    <t xml:space="preserve">Populacao (valor liquido registrado)</t>
  </si>
  <si>
    <t xml:space="preserve">Distorcao toleravel (= ME)</t>
  </si>
  <si>
    <t xml:space="preserve">Fator de confianca (95%, zero erros)</t>
  </si>
  <si>
    <t xml:space="preserve">Fator de expansao (95%)</t>
  </si>
  <si>
    <t xml:space="preserve">Distorcao esperada</t>
  </si>
  <si>
    <t xml:space="preserve">Intervalo de amostragem = (TM - EM x FE) / FC</t>
  </si>
  <si>
    <t xml:space="preserve">Tamanho esperado = populacao / intervalo</t>
  </si>
  <si>
    <t xml:space="preserve">Precisao basica = FC x intervalo</t>
  </si>
  <si>
    <t xml:space="preserve">Resultados da execucao (script 03; semente 241003473)</t>
  </si>
  <si>
    <t xml:space="preserve">Itens-chave (valor &gt;= intervalo)</t>
  </si>
  <si>
    <t xml:space="preserve">Itens por MUS</t>
  </si>
  <si>
    <t xml:space="preserve">Total de itens testados</t>
  </si>
  <si>
    <t xml:space="preserve">Itens com distorcao</t>
  </si>
  <si>
    <t xml:space="preserve">Distorcao projetada (mais provavel)</t>
  </si>
  <si>
    <t xml:space="preserve">Limite superior de distorcao (Stringer)</t>
  </si>
  <si>
    <t xml:space="preserve">Distorcao real inserida na base (verdade de terreno)</t>
  </si>
  <si>
    <t xml:space="preserve">Limite superior &lt; distorcao toleravel?</t>
  </si>
  <si>
    <t xml:space="preserve">Distorcao projetada / distorcao real</t>
  </si>
  <si>
    <t xml:space="preserve">PT 530 - Itens selecionados e resultado do teste (SIMULADO)</t>
  </si>
  <si>
    <t xml:space="preserve">Valor correto vem da verdade de terreno sintetica; distorcao e taint sao formulas.</t>
  </si>
  <si>
    <t xml:space="preserve">id_unidade</t>
  </si>
  <si>
    <t xml:space="preserve">Classe</t>
  </si>
  <si>
    <t xml:space="preserve">Tipo</t>
  </si>
  <si>
    <t xml:space="preserve">Municipio (sintetico)</t>
  </si>
  <si>
    <t xml:space="preserve">Selecao</t>
  </si>
  <si>
    <t xml:space="preserve">Valor registrado (mil)</t>
  </si>
  <si>
    <t xml:space="preserve">Valor correto (mil)</t>
  </si>
  <si>
    <t xml:space="preserve">Distorcao (mil)</t>
  </si>
  <si>
    <t xml:space="preserve">Taint (MUS)</t>
  </si>
  <si>
    <t xml:space="preserve">U0071262</t>
  </si>
  <si>
    <t xml:space="preserve">Contratos de Concessao URAE-1</t>
  </si>
  <si>
    <t xml:space="preserve">ETE</t>
  </si>
  <si>
    <t xml:space="preserve">MUN-104</t>
  </si>
  <si>
    <t xml:space="preserve">ITEM-CHAVE (&gt;= intervalo)</t>
  </si>
  <si>
    <t xml:space="preserve">U0000160</t>
  </si>
  <si>
    <t xml:space="preserve">MUN-020</t>
  </si>
  <si>
    <t xml:space="preserve">MUS</t>
  </si>
  <si>
    <t xml:space="preserve">U0001456</t>
  </si>
  <si>
    <t xml:space="preserve">MUN-169</t>
  </si>
  <si>
    <t xml:space="preserve">U0002776</t>
  </si>
  <si>
    <t xml:space="preserve">MUN-113</t>
  </si>
  <si>
    <t xml:space="preserve">U0003881</t>
  </si>
  <si>
    <t xml:space="preserve">ESTACAO_ELEVATORIA</t>
  </si>
  <si>
    <t xml:space="preserve">MUN-252</t>
  </si>
  <si>
    <t xml:space="preserve">U0005092</t>
  </si>
  <si>
    <t xml:space="preserve">MUN-098</t>
  </si>
  <si>
    <t xml:space="preserve">U0006513</t>
  </si>
  <si>
    <t xml:space="preserve">RESERVATORIO</t>
  </si>
  <si>
    <t xml:space="preserve">MUN-272</t>
  </si>
  <si>
    <t xml:space="preserve">U0007865</t>
  </si>
  <si>
    <t xml:space="preserve">REDE_ESGOTO</t>
  </si>
  <si>
    <t xml:space="preserve">MUN-277</t>
  </si>
  <si>
    <t xml:space="preserve">U0008773</t>
  </si>
  <si>
    <t xml:space="preserve">EQUIPAMENTO_OPERACIONAL</t>
  </si>
  <si>
    <t xml:space="preserve">MUN-009</t>
  </si>
  <si>
    <t xml:space="preserve">U0009418</t>
  </si>
  <si>
    <t xml:space="preserve">MUN-056</t>
  </si>
  <si>
    <t xml:space="preserve">U0010404</t>
  </si>
  <si>
    <t xml:space="preserve">MUN-165</t>
  </si>
  <si>
    <t xml:space="preserve">U0011812</t>
  </si>
  <si>
    <t xml:space="preserve">MUN-271</t>
  </si>
  <si>
    <t xml:space="preserve">U0013129</t>
  </si>
  <si>
    <t xml:space="preserve">MUN-076</t>
  </si>
  <si>
    <t xml:space="preserve">U0014417</t>
  </si>
  <si>
    <t xml:space="preserve">MUN-339</t>
  </si>
  <si>
    <t xml:space="preserve">U0015321</t>
  </si>
  <si>
    <t xml:space="preserve">REDE_AGUA</t>
  </si>
  <si>
    <t xml:space="preserve">MUN-364</t>
  </si>
  <si>
    <t xml:space="preserve">U0016623</t>
  </si>
  <si>
    <t xml:space="preserve">MUN-238</t>
  </si>
  <si>
    <t xml:space="preserve">U0017988</t>
  </si>
  <si>
    <t xml:space="preserve">MUN-176</t>
  </si>
  <si>
    <t xml:space="preserve">U0019243</t>
  </si>
  <si>
    <t xml:space="preserve">MUN-143</t>
  </si>
  <si>
    <t xml:space="preserve">U0020056</t>
  </si>
  <si>
    <t xml:space="preserve">MUN-190</t>
  </si>
  <si>
    <t xml:space="preserve">U0021459</t>
  </si>
  <si>
    <t xml:space="preserve">MUN-133</t>
  </si>
  <si>
    <t xml:space="preserve">U0022465</t>
  </si>
  <si>
    <t xml:space="preserve">MUN-156</t>
  </si>
  <si>
    <t xml:space="preserve">U0023628</t>
  </si>
  <si>
    <t xml:space="preserve">MUN-111</t>
  </si>
  <si>
    <t xml:space="preserve">U0024536</t>
  </si>
  <si>
    <t xml:space="preserve">MUN-248</t>
  </si>
  <si>
    <t xml:space="preserve">U0025824</t>
  </si>
  <si>
    <t xml:space="preserve">MUN-036</t>
  </si>
  <si>
    <t xml:space="preserve">U0027107</t>
  </si>
  <si>
    <t xml:space="preserve">Compromissos de Contratos</t>
  </si>
  <si>
    <t xml:space="preserve">COMPROMISSO_OUTORGA</t>
  </si>
  <si>
    <t xml:space="preserve">SEDE</t>
  </si>
  <si>
    <t xml:space="preserve">U0028199</t>
  </si>
  <si>
    <t xml:space="preserve">MUN-087</t>
  </si>
  <si>
    <t xml:space="preserve">U0029005</t>
  </si>
  <si>
    <t xml:space="preserve">MUN-371</t>
  </si>
  <si>
    <t xml:space="preserve">U0030253</t>
  </si>
  <si>
    <t xml:space="preserve">MUN-354</t>
  </si>
  <si>
    <t xml:space="preserve">U0031098</t>
  </si>
  <si>
    <t xml:space="preserve">U0032363</t>
  </si>
  <si>
    <t xml:space="preserve">MUN-007</t>
  </si>
  <si>
    <t xml:space="preserve">U0033723</t>
  </si>
  <si>
    <t xml:space="preserve">MUN-120</t>
  </si>
  <si>
    <t xml:space="preserve">U0034711</t>
  </si>
  <si>
    <t xml:space="preserve">ETA</t>
  </si>
  <si>
    <t xml:space="preserve">MUN-329</t>
  </si>
  <si>
    <t xml:space="preserve">U0035415</t>
  </si>
  <si>
    <t xml:space="preserve">U0036561</t>
  </si>
  <si>
    <t xml:space="preserve">MUN-273</t>
  </si>
  <si>
    <t xml:space="preserve">U0037522</t>
  </si>
  <si>
    <t xml:space="preserve">MUN-021</t>
  </si>
  <si>
    <t xml:space="preserve">U0038392</t>
  </si>
  <si>
    <t xml:space="preserve">MUN-195</t>
  </si>
  <si>
    <t xml:space="preserve">U0039801</t>
  </si>
  <si>
    <t xml:space="preserve">MUN-211</t>
  </si>
  <si>
    <t xml:space="preserve">U0041274</t>
  </si>
  <si>
    <t xml:space="preserve">MUN-346</t>
  </si>
  <si>
    <t xml:space="preserve">U0042682</t>
  </si>
  <si>
    <t xml:space="preserve">U0043124</t>
  </si>
  <si>
    <t xml:space="preserve">MUN-147</t>
  </si>
  <si>
    <t xml:space="preserve">U0044461</t>
  </si>
  <si>
    <t xml:space="preserve">U0045626</t>
  </si>
  <si>
    <t xml:space="preserve">MUN-287</t>
  </si>
  <si>
    <t xml:space="preserve">U0046727</t>
  </si>
  <si>
    <t xml:space="preserve">MUN-275</t>
  </si>
  <si>
    <t xml:space="preserve">U0047948</t>
  </si>
  <si>
    <t xml:space="preserve">MUN-363</t>
  </si>
  <si>
    <t xml:space="preserve">U0049332</t>
  </si>
  <si>
    <t xml:space="preserve">MUN-305</t>
  </si>
  <si>
    <t xml:space="preserve">U0050675</t>
  </si>
  <si>
    <t xml:space="preserve">MUN-053</t>
  </si>
  <si>
    <t xml:space="preserve">U0051774</t>
  </si>
  <si>
    <t xml:space="preserve">MUN-296</t>
  </si>
  <si>
    <t xml:space="preserve">U0053112</t>
  </si>
  <si>
    <t xml:space="preserve">U0054311</t>
  </si>
  <si>
    <t xml:space="preserve">MUN-192</t>
  </si>
  <si>
    <t xml:space="preserve">U0055423</t>
  </si>
  <si>
    <t xml:space="preserve">MUN-300</t>
  </si>
  <si>
    <t xml:space="preserve">U0056801</t>
  </si>
  <si>
    <t xml:space="preserve">MUN-348</t>
  </si>
  <si>
    <t xml:space="preserve">U0058006</t>
  </si>
  <si>
    <t xml:space="preserve">MUN-034</t>
  </si>
  <si>
    <t xml:space="preserve">U0059140</t>
  </si>
  <si>
    <t xml:space="preserve">MUN-315</t>
  </si>
  <si>
    <t xml:space="preserve">U0060155</t>
  </si>
  <si>
    <t xml:space="preserve">MUN-200</t>
  </si>
  <si>
    <t xml:space="preserve">U0061010</t>
  </si>
  <si>
    <t xml:space="preserve">MUN-037</t>
  </si>
  <si>
    <t xml:space="preserve">U0062131</t>
  </si>
  <si>
    <t xml:space="preserve">MUN-031</t>
  </si>
  <si>
    <t xml:space="preserve">U0063250</t>
  </si>
  <si>
    <t xml:space="preserve">MUN-060</t>
  </si>
  <si>
    <t xml:space="preserve">U0064366</t>
  </si>
  <si>
    <t xml:space="preserve">MUN-068</t>
  </si>
  <si>
    <t xml:space="preserve">U0065654</t>
  </si>
  <si>
    <t xml:space="preserve">U0066831</t>
  </si>
  <si>
    <t xml:space="preserve">MUN-095</t>
  </si>
  <si>
    <t xml:space="preserve">U0067934</t>
  </si>
  <si>
    <t xml:space="preserve">MUN-233</t>
  </si>
  <si>
    <t xml:space="preserve">U0069373</t>
  </si>
  <si>
    <t xml:space="preserve">MUN-333</t>
  </si>
  <si>
    <t xml:space="preserve">U0070414</t>
  </si>
  <si>
    <t xml:space="preserve">MUN-244</t>
  </si>
  <si>
    <t xml:space="preserve">U0071784</t>
  </si>
  <si>
    <t xml:space="preserve">MUN-220</t>
  </si>
  <si>
    <t xml:space="preserve">U0072989</t>
  </si>
  <si>
    <t xml:space="preserve">MUN-067</t>
  </si>
  <si>
    <t xml:space="preserve">U0074664</t>
  </si>
  <si>
    <t xml:space="preserve">U0076151</t>
  </si>
  <si>
    <t xml:space="preserve">MUN-193</t>
  </si>
  <si>
    <t xml:space="preserve">U0076878</t>
  </si>
  <si>
    <t xml:space="preserve">MUN-342</t>
  </si>
  <si>
    <t xml:space="preserve">U0077835</t>
  </si>
  <si>
    <t xml:space="preserve">MUN-212</t>
  </si>
  <si>
    <t xml:space="preserve">U0079003</t>
  </si>
  <si>
    <t xml:space="preserve">U0080261</t>
  </si>
  <si>
    <t xml:space="preserve">U0081550</t>
  </si>
  <si>
    <t xml:space="preserve">MUN-366</t>
  </si>
  <si>
    <t xml:space="preserve">U0083048</t>
  </si>
  <si>
    <t xml:space="preserve">MUN-360</t>
  </si>
  <si>
    <t xml:space="preserve">U0084557</t>
  </si>
  <si>
    <t xml:space="preserve">MUN-011</t>
  </si>
  <si>
    <t xml:space="preserve">U0085918</t>
  </si>
  <si>
    <t xml:space="preserve">U0087423</t>
  </si>
  <si>
    <t xml:space="preserve">MUN-182</t>
  </si>
  <si>
    <t xml:space="preserve">U0088341</t>
  </si>
  <si>
    <t xml:space="preserve">MUN-286</t>
  </si>
  <si>
    <t xml:space="preserve">U0089618</t>
  </si>
  <si>
    <t xml:space="preserve">MUN-171</t>
  </si>
  <si>
    <t xml:space="preserve">U0090736</t>
  </si>
  <si>
    <t xml:space="preserve">MUN-240</t>
  </si>
  <si>
    <t xml:space="preserve">U0092307</t>
  </si>
  <si>
    <t xml:space="preserve">MUN-023</t>
  </si>
  <si>
    <t xml:space="preserve">U0093173</t>
  </si>
  <si>
    <t xml:space="preserve">U0094337</t>
  </si>
  <si>
    <t xml:space="preserve">MUN-172</t>
  </si>
  <si>
    <t xml:space="preserve">U0095814</t>
  </si>
  <si>
    <t xml:space="preserve">MUN-012</t>
  </si>
  <si>
    <t xml:space="preserve">U0097282</t>
  </si>
  <si>
    <t xml:space="preserve">MUN-039</t>
  </si>
  <si>
    <t xml:space="preserve">U0098433</t>
  </si>
  <si>
    <t xml:space="preserve">MUN-234</t>
  </si>
  <si>
    <t xml:space="preserve">U0099733</t>
  </si>
  <si>
    <t xml:space="preserve">MUN-294</t>
  </si>
  <si>
    <t xml:space="preserve">U0101191</t>
  </si>
  <si>
    <t xml:space="preserve">MUN-324</t>
  </si>
  <si>
    <t xml:space="preserve">U0102769</t>
  </si>
  <si>
    <t xml:space="preserve">U0103825</t>
  </si>
  <si>
    <t xml:space="preserve">MUN-232</t>
  </si>
  <si>
    <t xml:space="preserve">U0104901</t>
  </si>
  <si>
    <t xml:space="preserve">MUN-086</t>
  </si>
  <si>
    <t xml:space="preserve">U0106483</t>
  </si>
  <si>
    <t xml:space="preserve">MUN-373</t>
  </si>
  <si>
    <t xml:space="preserve">U0107336</t>
  </si>
  <si>
    <t xml:space="preserve">U0108395</t>
  </si>
  <si>
    <t xml:space="preserve">MUN-122</t>
  </si>
  <si>
    <t xml:space="preserve">U0108962</t>
  </si>
  <si>
    <t xml:space="preserve">MUN-358</t>
  </si>
  <si>
    <t xml:space="preserve">U0110085</t>
  </si>
  <si>
    <t xml:space="preserve">MUN-320</t>
  </si>
  <si>
    <t xml:space="preserve">U0111640</t>
  </si>
  <si>
    <t xml:space="preserve">MUN-167</t>
  </si>
  <si>
    <t xml:space="preserve">U0112848</t>
  </si>
  <si>
    <t xml:space="preserve">MUN-372</t>
  </si>
  <si>
    <t xml:space="preserve">U0114114</t>
  </si>
  <si>
    <t xml:space="preserve">MUN-370</t>
  </si>
  <si>
    <t xml:space="preserve">U0115173</t>
  </si>
  <si>
    <t xml:space="preserve">U0116260</t>
  </si>
  <si>
    <t xml:space="preserve">MUN-210</t>
  </si>
  <si>
    <t xml:space="preserve">U0117605</t>
  </si>
  <si>
    <t xml:space="preserve">MUN-083</t>
  </si>
  <si>
    <t xml:space="preserve">U0118678</t>
  </si>
  <si>
    <t xml:space="preserve">MUN-293</t>
  </si>
  <si>
    <t xml:space="preserve">U0120096</t>
  </si>
  <si>
    <t xml:space="preserve">MUN-223</t>
  </si>
  <si>
    <t xml:space="preserve">U0121392</t>
  </si>
  <si>
    <t xml:space="preserve">U0122194</t>
  </si>
  <si>
    <t xml:space="preserve">MUN-042</t>
  </si>
  <si>
    <t xml:space="preserve">U0123392</t>
  </si>
  <si>
    <t xml:space="preserve">MUN-116</t>
  </si>
  <si>
    <t xml:space="preserve">U0124477</t>
  </si>
  <si>
    <t xml:space="preserve">MUN-125</t>
  </si>
  <si>
    <t xml:space="preserve">U0125777</t>
  </si>
  <si>
    <t xml:space="preserve">MUN-045</t>
  </si>
  <si>
    <t xml:space="preserve">U0127010</t>
  </si>
  <si>
    <t xml:space="preserve">MUN-229</t>
  </si>
  <si>
    <t xml:space="preserve">U0128396</t>
  </si>
  <si>
    <t xml:space="preserve">MUN-365</t>
  </si>
  <si>
    <t xml:space="preserve">U0129790</t>
  </si>
  <si>
    <t xml:space="preserve">U0131192</t>
  </si>
  <si>
    <t xml:space="preserve">MUN-350</t>
  </si>
  <si>
    <t xml:space="preserve">U0132687</t>
  </si>
  <si>
    <t xml:space="preserve">MUN-040</t>
  </si>
  <si>
    <t xml:space="preserve">U0133955</t>
  </si>
  <si>
    <t xml:space="preserve">U0135573</t>
  </si>
  <si>
    <t xml:space="preserve">MUN-047</t>
  </si>
  <si>
    <t xml:space="preserve">U0136731</t>
  </si>
  <si>
    <t xml:space="preserve">MUN-108</t>
  </si>
  <si>
    <t xml:space="preserve">U0137858</t>
  </si>
  <si>
    <t xml:space="preserve">MUN-043</t>
  </si>
  <si>
    <t xml:space="preserve">U0139027</t>
  </si>
  <si>
    <t xml:space="preserve">MUN-235</t>
  </si>
  <si>
    <t xml:space="preserve">U0140462</t>
  </si>
  <si>
    <t xml:space="preserve">U0141804</t>
  </si>
  <si>
    <t xml:space="preserve">MUN-145</t>
  </si>
  <si>
    <t xml:space="preserve">U0142999</t>
  </si>
  <si>
    <t xml:space="preserve">MUN-044</t>
  </si>
  <si>
    <t xml:space="preserve">U0144191</t>
  </si>
  <si>
    <t xml:space="preserve">MUN-184</t>
  </si>
  <si>
    <t xml:space="preserve">U0145734</t>
  </si>
  <si>
    <t xml:space="preserve">MUN-241</t>
  </si>
  <si>
    <t xml:space="preserve">U0147211</t>
  </si>
  <si>
    <t xml:space="preserve">MUN-187</t>
  </si>
  <si>
    <t xml:space="preserve">U0148683</t>
  </si>
  <si>
    <t xml:space="preserve">U0149896</t>
  </si>
  <si>
    <t xml:space="preserve">MUN-257</t>
  </si>
  <si>
    <t xml:space="preserve">U0151221</t>
  </si>
  <si>
    <t xml:space="preserve">U0152788</t>
  </si>
  <si>
    <t xml:space="preserve">MUN-242</t>
  </si>
  <si>
    <t xml:space="preserve">U0153927</t>
  </si>
  <si>
    <t xml:space="preserve">MUN-048</t>
  </si>
  <si>
    <t xml:space="preserve">U0155568</t>
  </si>
  <si>
    <t xml:space="preserve">U0157060</t>
  </si>
  <si>
    <t xml:space="preserve">MUN-041</t>
  </si>
  <si>
    <t xml:space="preserve">U0158374</t>
  </si>
  <si>
    <t xml:space="preserve">MUN-178</t>
  </si>
  <si>
    <t xml:space="preserve">U0159739</t>
  </si>
  <si>
    <t xml:space="preserve">MUN-280</t>
  </si>
  <si>
    <t xml:space="preserve">U0160678</t>
  </si>
  <si>
    <t xml:space="preserve">U0162021</t>
  </si>
  <si>
    <t xml:space="preserve">U0163112</t>
  </si>
  <si>
    <t xml:space="preserve">MUN-297</t>
  </si>
  <si>
    <t xml:space="preserve">U0164260</t>
  </si>
  <si>
    <t xml:space="preserve">U0164555</t>
  </si>
  <si>
    <t xml:space="preserve">U0165472</t>
  </si>
  <si>
    <t xml:space="preserve">MUN-362</t>
  </si>
  <si>
    <t xml:space="preserve">U0166664</t>
  </si>
  <si>
    <t xml:space="preserve">LIGACAO_AGUA</t>
  </si>
  <si>
    <t xml:space="preserve">U0167885</t>
  </si>
  <si>
    <t xml:space="preserve">U0168906</t>
  </si>
  <si>
    <t xml:space="preserve">MUN-030</t>
  </si>
  <si>
    <t xml:space="preserve">U0170305</t>
  </si>
  <si>
    <t xml:space="preserve">MUN-170</t>
  </si>
  <si>
    <t xml:space="preserve">U0171525</t>
  </si>
  <si>
    <t xml:space="preserve">U0173353</t>
  </si>
  <si>
    <t xml:space="preserve">MUN-180</t>
  </si>
  <si>
    <t xml:space="preserve">U0174836</t>
  </si>
  <si>
    <t xml:space="preserve">MUN-290</t>
  </si>
  <si>
    <t xml:space="preserve">U0175699</t>
  </si>
  <si>
    <t xml:space="preserve">U0177293</t>
  </si>
  <si>
    <t xml:space="preserve">Licenca de uso de software</t>
  </si>
  <si>
    <t xml:space="preserve">LICENCA_SOFTWARE</t>
  </si>
  <si>
    <t xml:space="preserve">U0177900</t>
  </si>
  <si>
    <t xml:space="preserve">U0178984</t>
  </si>
  <si>
    <t xml:space="preserve">MUN-096</t>
  </si>
  <si>
    <t xml:space="preserve">U0179990</t>
  </si>
  <si>
    <t xml:space="preserve">U0181123</t>
  </si>
  <si>
    <t xml:space="preserve">MUN-201</t>
  </si>
  <si>
    <t xml:space="preserve">U0182207</t>
  </si>
  <si>
    <t xml:space="preserve">U0183362</t>
  </si>
  <si>
    <t xml:space="preserve">MUN-177</t>
  </si>
  <si>
    <t xml:space="preserve">U0184348</t>
  </si>
  <si>
    <t xml:space="preserve">U0185647</t>
  </si>
  <si>
    <t xml:space="preserve">MUN-105</t>
  </si>
  <si>
    <t xml:space="preserve">U0186807</t>
  </si>
  <si>
    <t xml:space="preserve">MUN-019</t>
  </si>
  <si>
    <t xml:space="preserve">U0188249</t>
  </si>
  <si>
    <t xml:space="preserve">U0189319</t>
  </si>
  <si>
    <t xml:space="preserve">MUN-374</t>
  </si>
  <si>
    <t xml:space="preserve">U0190782</t>
  </si>
  <si>
    <t xml:space="preserve">MUN-215</t>
  </si>
  <si>
    <t xml:space="preserve">U0191698</t>
  </si>
  <si>
    <t xml:space="preserve">MUN-085</t>
  </si>
  <si>
    <t xml:space="preserve">U0192838</t>
  </si>
  <si>
    <t xml:space="preserve">MUN-347</t>
  </si>
  <si>
    <t xml:space="preserve">U0192964</t>
  </si>
  <si>
    <t xml:space="preserve">U0194035</t>
  </si>
  <si>
    <t xml:space="preserve">U0195332</t>
  </si>
  <si>
    <t xml:space="preserve">U0196398</t>
  </si>
  <si>
    <t xml:space="preserve">U0197900</t>
  </si>
  <si>
    <t xml:space="preserve">MUN-018</t>
  </si>
  <si>
    <t xml:space="preserve">U0199100</t>
  </si>
  <si>
    <t xml:space="preserve">U0200336</t>
  </si>
  <si>
    <t xml:space="preserve">MUN-279</t>
  </si>
  <si>
    <t xml:space="preserve">U0201178</t>
  </si>
  <si>
    <t xml:space="preserve">U0202216</t>
  </si>
  <si>
    <t xml:space="preserve">MUN-152</t>
  </si>
  <si>
    <t xml:space="preserve">U0203314</t>
  </si>
  <si>
    <t xml:space="preserve">MUN-214</t>
  </si>
  <si>
    <t xml:space="preserve">U0204141</t>
  </si>
  <si>
    <t xml:space="preserve">U0205144</t>
  </si>
  <si>
    <t xml:space="preserve">U0206158</t>
  </si>
  <si>
    <t xml:space="preserve">MUN-141</t>
  </si>
  <si>
    <t xml:space="preserve">U0207060</t>
  </si>
  <si>
    <t xml:space="preserve">MUN-035</t>
  </si>
  <si>
    <t xml:space="preserve">U0208298</t>
  </si>
  <si>
    <t xml:space="preserve">MUN-074</t>
  </si>
  <si>
    <t xml:space="preserve">U0209614</t>
  </si>
  <si>
    <t xml:space="preserve">MUN-119</t>
  </si>
  <si>
    <t xml:space="preserve">U0210503</t>
  </si>
  <si>
    <t xml:space="preserve">MUN-330</t>
  </si>
  <si>
    <t xml:space="preserve">U0212099</t>
  </si>
  <si>
    <t xml:space="preserve">MUN-078</t>
  </si>
  <si>
    <t xml:space="preserve">U0213700</t>
  </si>
  <si>
    <t xml:space="preserve">U0215036</t>
  </si>
  <si>
    <t xml:space="preserve">U0216371</t>
  </si>
  <si>
    <t xml:space="preserve">MUN-077</t>
  </si>
  <si>
    <t xml:space="preserve">U0217362</t>
  </si>
  <si>
    <t xml:space="preserve">U0218363</t>
  </si>
  <si>
    <t xml:space="preserve">U0219377</t>
  </si>
  <si>
    <t xml:space="preserve">MUN-070</t>
  </si>
  <si>
    <t xml:space="preserve">U0220659</t>
  </si>
  <si>
    <t xml:space="preserve">U0221897</t>
  </si>
  <si>
    <t xml:space="preserve">U0223348</t>
  </si>
  <si>
    <t xml:space="preserve">MUN-343</t>
  </si>
  <si>
    <t xml:space="preserve">U0224639</t>
  </si>
  <si>
    <t xml:space="preserve">MUN-236</t>
  </si>
  <si>
    <t xml:space="preserve">U0225777</t>
  </si>
  <si>
    <t xml:space="preserve">MUN-198</t>
  </si>
  <si>
    <t xml:space="preserve">U0226919</t>
  </si>
  <si>
    <t xml:space="preserve">MUN-054</t>
  </si>
  <si>
    <t xml:space="preserve">U0228300</t>
  </si>
  <si>
    <t xml:space="preserve">U0229709</t>
  </si>
  <si>
    <t xml:space="preserve">U0231141</t>
  </si>
  <si>
    <t xml:space="preserve">MUN-199</t>
  </si>
  <si>
    <t xml:space="preserve">U0232125</t>
  </si>
  <si>
    <t xml:space="preserve">U0233403</t>
  </si>
  <si>
    <t xml:space="preserve">U0234536</t>
  </si>
  <si>
    <t xml:space="preserve">U0235349</t>
  </si>
  <si>
    <t xml:space="preserve">MUN-208</t>
  </si>
  <si>
    <t xml:space="preserve">U0236225</t>
  </si>
  <si>
    <t xml:space="preserve">U0237263</t>
  </si>
  <si>
    <t xml:space="preserve">MUN-064</t>
  </si>
  <si>
    <t xml:space="preserve">U0238237</t>
  </si>
  <si>
    <t xml:space="preserve">U0239007</t>
  </si>
  <si>
    <t xml:space="preserve">U0240475</t>
  </si>
  <si>
    <t xml:space="preserve">MUN-191</t>
  </si>
  <si>
    <t xml:space="preserve">U0241697</t>
  </si>
  <si>
    <t xml:space="preserve">MUN-281</t>
  </si>
  <si>
    <t xml:space="preserve">U0242986</t>
  </si>
  <si>
    <t xml:space="preserve">U0244295</t>
  </si>
  <si>
    <t xml:space="preserve">U0245508</t>
  </si>
  <si>
    <t xml:space="preserve">U0247545</t>
  </si>
  <si>
    <t xml:space="preserve">MUN-221</t>
  </si>
  <si>
    <t xml:space="preserve">U0248839</t>
  </si>
  <si>
    <t xml:space="preserve">U0249528</t>
  </si>
  <si>
    <t xml:space="preserve">MUN-071</t>
  </si>
  <si>
    <t xml:space="preserve">U0250270</t>
  </si>
  <si>
    <t xml:space="preserve">U0251712</t>
  </si>
  <si>
    <t xml:space="preserve">MUN-118</t>
  </si>
  <si>
    <t xml:space="preserve">U0253134</t>
  </si>
  <si>
    <t xml:space="preserve">MUN-038</t>
  </si>
  <si>
    <t xml:space="preserve">U0254230</t>
  </si>
  <si>
    <t xml:space="preserve">U0255749</t>
  </si>
  <si>
    <t xml:space="preserve">U0256456</t>
  </si>
  <si>
    <t xml:space="preserve">U0257373</t>
  </si>
  <si>
    <t xml:space="preserve">MUN-314</t>
  </si>
  <si>
    <t xml:space="preserve">U0258707</t>
  </si>
  <si>
    <t xml:space="preserve">U0259630</t>
  </si>
  <si>
    <t xml:space="preserve">U0261143</t>
  </si>
  <si>
    <t xml:space="preserve">U0262517</t>
  </si>
  <si>
    <t xml:space="preserve">U0263443</t>
  </si>
  <si>
    <t xml:space="preserve">MUN-321</t>
  </si>
  <si>
    <t xml:space="preserve">U0264723</t>
  </si>
  <si>
    <t xml:space="preserve">MUN-135</t>
  </si>
  <si>
    <t xml:space="preserve">U0266000</t>
  </si>
  <si>
    <t xml:space="preserve">U0267187</t>
  </si>
  <si>
    <t xml:space="preserve">U0268879</t>
  </si>
  <si>
    <t xml:space="preserve">MUN-117</t>
  </si>
  <si>
    <t xml:space="preserve">U0270239</t>
  </si>
  <si>
    <t xml:space="preserve">U0271498</t>
  </si>
  <si>
    <t xml:space="preserve">MUN-356</t>
  </si>
  <si>
    <t xml:space="preserve">U0272584</t>
  </si>
  <si>
    <t xml:space="preserve">U0274039</t>
  </si>
  <si>
    <t xml:space="preserve">MUN-313</t>
  </si>
  <si>
    <t xml:space="preserve">U0275395</t>
  </si>
  <si>
    <t xml:space="preserve">U0276802</t>
  </si>
  <si>
    <t xml:space="preserve">MUN-186</t>
  </si>
  <si>
    <t xml:space="preserve">U0277326</t>
  </si>
  <si>
    <t xml:space="preserve">MUN-033</t>
  </si>
  <si>
    <t xml:space="preserve">U0278676</t>
  </si>
  <si>
    <t xml:space="preserve">U0280111</t>
  </si>
  <si>
    <t xml:space="preserve">U0281084</t>
  </si>
  <si>
    <t xml:space="preserve">U0282477</t>
  </si>
  <si>
    <t xml:space="preserve">U0283082</t>
  </si>
  <si>
    <t xml:space="preserve">MUN-304</t>
  </si>
  <si>
    <t xml:space="preserve">U0284708</t>
  </si>
  <si>
    <t xml:space="preserve">MUN-142</t>
  </si>
  <si>
    <t xml:space="preserve">U0285734</t>
  </si>
  <si>
    <t xml:space="preserve">MUN-029</t>
  </si>
  <si>
    <t xml:space="preserve">U0287038</t>
  </si>
  <si>
    <t xml:space="preserve">U0287567</t>
  </si>
  <si>
    <t xml:space="preserve">U0288769</t>
  </si>
  <si>
    <t xml:space="preserve">MUN-228</t>
  </si>
  <si>
    <t xml:space="preserve">U0290029</t>
  </si>
  <si>
    <t xml:space="preserve">MUN-312</t>
  </si>
  <si>
    <t xml:space="preserve">U0290646</t>
  </si>
  <si>
    <t xml:space="preserve">U0292138</t>
  </si>
  <si>
    <t xml:space="preserve">MUN-061</t>
  </si>
  <si>
    <t xml:space="preserve">U0293219</t>
  </si>
  <si>
    <t xml:space="preserve">MUN-319</t>
  </si>
  <si>
    <t xml:space="preserve">U0294577</t>
  </si>
  <si>
    <t xml:space="preserve">U0295751</t>
  </si>
  <si>
    <t xml:space="preserve">U0297149</t>
  </si>
  <si>
    <t xml:space="preserve">U0298340</t>
  </si>
  <si>
    <t xml:space="preserve">MUN-126</t>
  </si>
  <si>
    <t xml:space="preserve">U0298534</t>
  </si>
  <si>
    <t xml:space="preserve">MUN-224</t>
  </si>
  <si>
    <t xml:space="preserve">U0300205</t>
  </si>
  <si>
    <t xml:space="preserve">MUN-268</t>
  </si>
  <si>
    <t xml:space="preserve">U0301344</t>
  </si>
  <si>
    <t xml:space="preserve">U0302727</t>
  </si>
  <si>
    <t xml:space="preserve">MUN-164</t>
  </si>
  <si>
    <t xml:space="preserve">U0304179</t>
  </si>
  <si>
    <t xml:space="preserve">MUN-114</t>
  </si>
  <si>
    <t xml:space="preserve">U0305507</t>
  </si>
  <si>
    <t xml:space="preserve">U0306389</t>
  </si>
  <si>
    <t xml:space="preserve">U0307640</t>
  </si>
  <si>
    <t xml:space="preserve">MUN-001</t>
  </si>
  <si>
    <t xml:space="preserve">U0308521</t>
  </si>
  <si>
    <t xml:space="preserve">MUN-336</t>
  </si>
  <si>
    <t xml:space="preserve">U0309842</t>
  </si>
  <si>
    <t xml:space="preserve">MUN-107</t>
  </si>
  <si>
    <t xml:space="preserve">U0311125</t>
  </si>
  <si>
    <t xml:space="preserve">MUN-267</t>
  </si>
  <si>
    <t xml:space="preserve">U0312276</t>
  </si>
  <si>
    <t xml:space="preserve">U0313673</t>
  </si>
  <si>
    <t xml:space="preserve">MUN-110</t>
  </si>
  <si>
    <t xml:space="preserve">U0315342</t>
  </si>
  <si>
    <t xml:space="preserve">MUN-355</t>
  </si>
  <si>
    <t xml:space="preserve">U0316574</t>
  </si>
  <si>
    <t xml:space="preserve">U0317675</t>
  </si>
  <si>
    <t xml:space="preserve">U0319020</t>
  </si>
  <si>
    <t xml:space="preserve">U0320434</t>
  </si>
  <si>
    <t xml:space="preserve">U0321711</t>
  </si>
  <si>
    <t xml:space="preserve">U0322885</t>
  </si>
  <si>
    <t xml:space="preserve">MUN-264</t>
  </si>
  <si>
    <t xml:space="preserve">U0324093</t>
  </si>
  <si>
    <t xml:space="preserve">U0324837</t>
  </si>
  <si>
    <t xml:space="preserve">U0325339</t>
  </si>
  <si>
    <t xml:space="preserve">MUN-065</t>
  </si>
  <si>
    <t xml:space="preserve">U0325866</t>
  </si>
  <si>
    <t xml:space="preserve">MUN-073</t>
  </si>
  <si>
    <t xml:space="preserve">U0326982</t>
  </si>
  <si>
    <t xml:space="preserve">U0328805</t>
  </si>
  <si>
    <t xml:space="preserve">MUN-262</t>
  </si>
  <si>
    <t xml:space="preserve">U0330098</t>
  </si>
  <si>
    <t xml:space="preserve">U0331286</t>
  </si>
  <si>
    <t xml:space="preserve">U0332519</t>
  </si>
  <si>
    <t xml:space="preserve">U0334052</t>
  </si>
  <si>
    <t xml:space="preserve">U0335328</t>
  </si>
  <si>
    <t xml:space="preserve">MUN-112</t>
  </si>
  <si>
    <t xml:space="preserve">U0336615</t>
  </si>
  <si>
    <t xml:space="preserve">MUN-344</t>
  </si>
  <si>
    <t xml:space="preserve">U0337654</t>
  </si>
  <si>
    <t xml:space="preserve">U0338374</t>
  </si>
  <si>
    <t xml:space="preserve">U0339246</t>
  </si>
  <si>
    <t xml:space="preserve">U0340735</t>
  </si>
  <si>
    <t xml:space="preserve">MUN-099</t>
  </si>
  <si>
    <t xml:space="preserve">U0341902</t>
  </si>
  <si>
    <t xml:space="preserve">MUN-005</t>
  </si>
  <si>
    <t xml:space="preserve">U0343307</t>
  </si>
  <si>
    <t xml:space="preserve">U0344444</t>
  </si>
  <si>
    <t xml:space="preserve">U0345647</t>
  </si>
  <si>
    <t xml:space="preserve">MUN-123</t>
  </si>
  <si>
    <t xml:space="preserve">U0346756</t>
  </si>
  <si>
    <t xml:space="preserve">MUN-140</t>
  </si>
  <si>
    <t xml:space="preserve">U0348175</t>
  </si>
  <si>
    <t xml:space="preserve">SISTEMA_TELEMETRIA</t>
  </si>
  <si>
    <t xml:space="preserve">MUN-203</t>
  </si>
  <si>
    <t xml:space="preserve">U0349572</t>
  </si>
  <si>
    <t xml:space="preserve">U0350390</t>
  </si>
  <si>
    <t xml:space="preserve">MUN-213</t>
  </si>
  <si>
    <t xml:space="preserve">U0351483</t>
  </si>
  <si>
    <t xml:space="preserve">MUN-094</t>
  </si>
  <si>
    <t xml:space="preserve">U0352654</t>
  </si>
  <si>
    <t xml:space="preserve">MUN-209</t>
  </si>
  <si>
    <t xml:space="preserve">U0354103</t>
  </si>
  <si>
    <t xml:space="preserve">U0355204</t>
  </si>
  <si>
    <t xml:space="preserve">U0355857</t>
  </si>
  <si>
    <t xml:space="preserve">MUN-303</t>
  </si>
  <si>
    <t xml:space="preserve">U0357293</t>
  </si>
  <si>
    <t xml:space="preserve">MUN-196</t>
  </si>
  <si>
    <t xml:space="preserve">U0358678</t>
  </si>
  <si>
    <t xml:space="preserve">MUN-006</t>
  </si>
  <si>
    <t xml:space="preserve">U0360045</t>
  </si>
  <si>
    <t xml:space="preserve">U0361462</t>
  </si>
  <si>
    <t xml:space="preserve">U0362827</t>
  </si>
  <si>
    <t xml:space="preserve">U0364247</t>
  </si>
  <si>
    <t xml:space="preserve">U0365071</t>
  </si>
  <si>
    <t xml:space="preserve">U0366288</t>
  </si>
  <si>
    <t xml:space="preserve">U0367474</t>
  </si>
  <si>
    <t xml:space="preserve">U0367885</t>
  </si>
  <si>
    <t xml:space="preserve">U0368573</t>
  </si>
  <si>
    <t xml:space="preserve">U0369982</t>
  </si>
  <si>
    <t xml:space="preserve">U0371450</t>
  </si>
  <si>
    <t xml:space="preserve">MUN-157</t>
  </si>
  <si>
    <t xml:space="preserve">U0373251</t>
  </si>
  <si>
    <t xml:space="preserve">MUN-059</t>
  </si>
  <si>
    <t xml:space="preserve">U0374087</t>
  </si>
  <si>
    <t xml:space="preserve">U0375305</t>
  </si>
  <si>
    <t xml:space="preserve">MUN-306</t>
  </si>
  <si>
    <t xml:space="preserve">U0376826</t>
  </si>
  <si>
    <t xml:space="preserve">MUN-159</t>
  </si>
  <si>
    <t xml:space="preserve">U0377935</t>
  </si>
  <si>
    <t xml:space="preserve">U0379154</t>
  </si>
  <si>
    <t xml:space="preserve">U0380391</t>
  </si>
  <si>
    <t xml:space="preserve">U0382106</t>
  </si>
  <si>
    <t xml:space="preserve">MUN-328</t>
  </si>
  <si>
    <t xml:space="preserve">U0382732</t>
  </si>
  <si>
    <t xml:space="preserve">MUN-057</t>
  </si>
  <si>
    <t xml:space="preserve">U0384163</t>
  </si>
  <si>
    <t xml:space="preserve">U0385213</t>
  </si>
  <si>
    <t xml:space="preserve">MUN-375</t>
  </si>
  <si>
    <t xml:space="preserve">U0386563</t>
  </si>
  <si>
    <t xml:space="preserve">U0387742</t>
  </si>
  <si>
    <t xml:space="preserve">U0388965</t>
  </si>
  <si>
    <t xml:space="preserve">U0389911</t>
  </si>
  <si>
    <t xml:space="preserve">U0391013</t>
  </si>
  <si>
    <t xml:space="preserve">MUN-269</t>
  </si>
  <si>
    <t xml:space="preserve">U0392473</t>
  </si>
  <si>
    <t xml:space="preserve">U0393946</t>
  </si>
  <si>
    <t xml:space="preserve">MUN-089</t>
  </si>
  <si>
    <t xml:space="preserve">U0394966</t>
  </si>
  <si>
    <t xml:space="preserve">MUN-341</t>
  </si>
  <si>
    <t xml:space="preserve">U0395970</t>
  </si>
  <si>
    <t xml:space="preserve">U0396905</t>
  </si>
  <si>
    <t xml:space="preserve">U0398347</t>
  </si>
  <si>
    <t xml:space="preserve">U0399854</t>
  </si>
  <si>
    <t xml:space="preserve">U0401412</t>
  </si>
  <si>
    <t xml:space="preserve">U0402502</t>
  </si>
  <si>
    <t xml:space="preserve">MUN-166</t>
  </si>
  <si>
    <t xml:space="preserve">U0403559</t>
  </si>
  <si>
    <t xml:space="preserve">MUN-285</t>
  </si>
  <si>
    <t xml:space="preserve">U0404550</t>
  </si>
  <si>
    <t xml:space="preserve">MUN-151</t>
  </si>
  <si>
    <t xml:space="preserve">U0405959</t>
  </si>
  <si>
    <t xml:space="preserve">U0407288</t>
  </si>
  <si>
    <t xml:space="preserve">U0408765</t>
  </si>
  <si>
    <t xml:space="preserve">U0409370</t>
  </si>
  <si>
    <t xml:space="preserve">U0410392</t>
  </si>
  <si>
    <t xml:space="preserve">U0411402</t>
  </si>
  <si>
    <t xml:space="preserve">U0412644</t>
  </si>
  <si>
    <t xml:space="preserve">MUN-063</t>
  </si>
  <si>
    <t xml:space="preserve">U0414014</t>
  </si>
  <si>
    <t xml:space="preserve">U0415502</t>
  </si>
  <si>
    <t xml:space="preserve">U0416571</t>
  </si>
  <si>
    <t xml:space="preserve">U0418144</t>
  </si>
  <si>
    <t xml:space="preserve">MUN-326</t>
  </si>
  <si>
    <t xml:space="preserve">U0419387</t>
  </si>
  <si>
    <t xml:space="preserve">U0420499</t>
  </si>
  <si>
    <t xml:space="preserve">U0421251</t>
  </si>
  <si>
    <t xml:space="preserve">U0422335</t>
  </si>
  <si>
    <t xml:space="preserve">U0423402</t>
  </si>
  <si>
    <t xml:space="preserve">U0424559</t>
  </si>
  <si>
    <t xml:space="preserve">MUN-091</t>
  </si>
  <si>
    <t xml:space="preserve">U0425552</t>
  </si>
  <si>
    <t xml:space="preserve">U0426734</t>
  </si>
  <si>
    <t xml:space="preserve">U0427801</t>
  </si>
  <si>
    <t xml:space="preserve">U0429051</t>
  </si>
  <si>
    <t xml:space="preserve">U0429912</t>
  </si>
  <si>
    <t xml:space="preserve">MUN-025</t>
  </si>
  <si>
    <t xml:space="preserve">U0430682</t>
  </si>
  <si>
    <t xml:space="preserve">MUN-323</t>
  </si>
  <si>
    <t xml:space="preserve">U0431582</t>
  </si>
  <si>
    <t xml:space="preserve">MUN-144</t>
  </si>
  <si>
    <t xml:space="preserve">U0433008</t>
  </si>
  <si>
    <t xml:space="preserve">U0433641</t>
  </si>
  <si>
    <t xml:space="preserve">U0434616</t>
  </si>
  <si>
    <t xml:space="preserve">U0435548</t>
  </si>
  <si>
    <t xml:space="preserve">MUN-194</t>
  </si>
  <si>
    <t xml:space="preserve">U0436673</t>
  </si>
  <si>
    <t xml:space="preserve">U0438137</t>
  </si>
  <si>
    <t xml:space="preserve">MUN-010</t>
  </si>
  <si>
    <t xml:space="preserve">U0439444</t>
  </si>
  <si>
    <t xml:space="preserve">MUN-318</t>
  </si>
  <si>
    <t xml:space="preserve">U0440843</t>
  </si>
  <si>
    <t xml:space="preserve">U0442279</t>
  </si>
  <si>
    <t xml:space="preserve">U0443742</t>
  </si>
  <si>
    <t xml:space="preserve">U0445258</t>
  </si>
  <si>
    <t xml:space="preserve">U0446300</t>
  </si>
  <si>
    <t xml:space="preserve">MUN-027</t>
  </si>
  <si>
    <t xml:space="preserve">U0447704</t>
  </si>
  <si>
    <t xml:space="preserve">MUN-004</t>
  </si>
  <si>
    <t xml:space="preserve">U0448643</t>
  </si>
  <si>
    <t xml:space="preserve">MUN-026</t>
  </si>
  <si>
    <t xml:space="preserve">U0449927</t>
  </si>
  <si>
    <t xml:space="preserve">U0451162</t>
  </si>
  <si>
    <t xml:space="preserve">U0452444</t>
  </si>
  <si>
    <t xml:space="preserve">MUN-231</t>
  </si>
  <si>
    <t xml:space="preserve">U0453864</t>
  </si>
  <si>
    <t xml:space="preserve">U0455166</t>
  </si>
  <si>
    <t xml:space="preserve">MUN-311</t>
  </si>
  <si>
    <t xml:space="preserve">U0456459</t>
  </si>
  <si>
    <t xml:space="preserve">MUN-153</t>
  </si>
  <si>
    <t xml:space="preserve">U0458040</t>
  </si>
  <si>
    <t xml:space="preserve">U0459277</t>
  </si>
  <si>
    <t xml:space="preserve">MUN-127</t>
  </si>
  <si>
    <t xml:space="preserve">U0460365</t>
  </si>
  <si>
    <t xml:space="preserve">U0461660</t>
  </si>
  <si>
    <t xml:space="preserve">U0462748</t>
  </si>
  <si>
    <t xml:space="preserve">U0463947</t>
  </si>
  <si>
    <t xml:space="preserve">MUN-206</t>
  </si>
  <si>
    <t xml:space="preserve">U0464767</t>
  </si>
  <si>
    <t xml:space="preserve">U0466270</t>
  </si>
  <si>
    <t xml:space="preserve">MUN-250</t>
  </si>
  <si>
    <t xml:space="preserve">U0467089</t>
  </si>
  <si>
    <t xml:space="preserve">MUN-246</t>
  </si>
  <si>
    <t xml:space="preserve">U0467893</t>
  </si>
  <si>
    <t xml:space="preserve">U0469495</t>
  </si>
  <si>
    <t xml:space="preserve">U0470274</t>
  </si>
  <si>
    <t xml:space="preserve">MUN-353</t>
  </si>
  <si>
    <t xml:space="preserve">U0470937</t>
  </si>
  <si>
    <t xml:space="preserve">U0471712</t>
  </si>
  <si>
    <t xml:space="preserve">MUN-322</t>
  </si>
  <si>
    <t xml:space="preserve">U0473216</t>
  </si>
  <si>
    <t xml:space="preserve">MUN-283</t>
  </si>
  <si>
    <t xml:space="preserve">U0474298</t>
  </si>
  <si>
    <t xml:space="preserve">MUN-155</t>
  </si>
  <si>
    <t xml:space="preserve">U0475798</t>
  </si>
  <si>
    <t xml:space="preserve">U0477376</t>
  </si>
  <si>
    <t xml:space="preserve">U0478275</t>
  </si>
  <si>
    <t xml:space="preserve">U0479200</t>
  </si>
  <si>
    <t xml:space="preserve">U0480815</t>
  </si>
  <si>
    <t xml:space="preserve">MUN-259</t>
  </si>
  <si>
    <t xml:space="preserve">U0481625</t>
  </si>
  <si>
    <t xml:space="preserve">MUN-302</t>
  </si>
  <si>
    <t xml:space="preserve">U0482455</t>
  </si>
  <si>
    <t xml:space="preserve">MUN-161</t>
  </si>
  <si>
    <t xml:space="preserve">U0483806</t>
  </si>
  <si>
    <t xml:space="preserve">U0485024</t>
  </si>
  <si>
    <t xml:space="preserve">MUN-226</t>
  </si>
  <si>
    <t xml:space="preserve">U0486264</t>
  </si>
  <si>
    <t xml:space="preserve">U0487686</t>
  </si>
  <si>
    <t xml:space="preserve">MUN-148</t>
  </si>
  <si>
    <t xml:space="preserve">U0488562</t>
  </si>
  <si>
    <t xml:space="preserve">MUN-274</t>
  </si>
  <si>
    <t xml:space="preserve">U0489863</t>
  </si>
  <si>
    <t xml:space="preserve">MUN-219</t>
  </si>
  <si>
    <t xml:space="preserve">U0491152</t>
  </si>
  <si>
    <t xml:space="preserve">U0492286</t>
  </si>
  <si>
    <t xml:space="preserve">MUN-003</t>
  </si>
  <si>
    <t xml:space="preserve">U0493514</t>
  </si>
  <si>
    <t xml:space="preserve">U0494712</t>
  </si>
  <si>
    <t xml:space="preserve">MUN-146</t>
  </si>
  <si>
    <t xml:space="preserve">U0496393</t>
  </si>
  <si>
    <t xml:space="preserve">U0497421</t>
  </si>
  <si>
    <t xml:space="preserve">U0498384</t>
  </si>
  <si>
    <t xml:space="preserve">U0499444</t>
  </si>
  <si>
    <t xml:space="preserve">U0500001</t>
  </si>
  <si>
    <t xml:space="preserve">MUN-361</t>
  </si>
  <si>
    <t xml:space="preserve">U0500385</t>
  </si>
  <si>
    <t xml:space="preserve">U0501530</t>
  </si>
  <si>
    <t xml:space="preserve">U0502822</t>
  </si>
  <si>
    <t xml:space="preserve">U0504184</t>
  </si>
  <si>
    <t xml:space="preserve">U0505486</t>
  </si>
  <si>
    <t xml:space="preserve">U0506803</t>
  </si>
  <si>
    <t xml:space="preserve">U0507993</t>
  </si>
  <si>
    <t xml:space="preserve">MUN-183</t>
  </si>
  <si>
    <t xml:space="preserve">U0509435</t>
  </si>
  <si>
    <t xml:space="preserve">U0510877</t>
  </si>
  <si>
    <t xml:space="preserve">MUN-185</t>
  </si>
  <si>
    <t xml:space="preserve">U0512210</t>
  </si>
  <si>
    <t xml:space="preserve">U0513383</t>
  </si>
  <si>
    <t xml:space="preserve">U0514981</t>
  </si>
  <si>
    <t xml:space="preserve">MUN-251</t>
  </si>
  <si>
    <t xml:space="preserve">U0516036</t>
  </si>
  <si>
    <t xml:space="preserve">U0517067</t>
  </si>
  <si>
    <t xml:space="preserve">MUN-062</t>
  </si>
  <si>
    <t xml:space="preserve">U0518203</t>
  </si>
  <si>
    <t xml:space="preserve">U0519844</t>
  </si>
  <si>
    <t xml:space="preserve">Total de distorcao nos itens</t>
  </si>
  <si>
    <t xml:space="preserve">T-01 - Conciliacao da base sintetica com a Nota 14 (R$ mil)</t>
  </si>
  <si>
    <t xml:space="preserve">Base = soma da base sintetica; Nota 14 = F1, p. 72</t>
  </si>
  <si>
    <t xml:space="preserve">Custo - base</t>
  </si>
  <si>
    <t xml:space="preserve">Custo - Nota 14</t>
  </si>
  <si>
    <t xml:space="preserve">Amort. - base</t>
  </si>
  <si>
    <t xml:space="preserve">Amort. - Nota 14</t>
  </si>
  <si>
    <t xml:space="preserve">VL - base</t>
  </si>
  <si>
    <t xml:space="preserve">VL - Nota 14</t>
  </si>
  <si>
    <t xml:space="preserve">Dif. VL</t>
  </si>
  <si>
    <t xml:space="preserve">Direito de uso - Outros ativos</t>
  </si>
  <si>
    <t xml:space="preserve">Contratos de concessao - outros</t>
  </si>
  <si>
    <t xml:space="preserve">Contratos de concessao - novos contratos</t>
  </si>
  <si>
    <t xml:space="preserve">TOTAL</t>
  </si>
  <si>
    <t xml:space="preserve">Erros inseridos x erros identificados pelos testes</t>
  </si>
  <si>
    <t xml:space="preserve">Base SINTETICA; verdade de terreno em dados/registro_erros_inseridos.csv</t>
  </si>
  <si>
    <t xml:space="preserve">Codigo</t>
  </si>
  <si>
    <t xml:space="preserve">Teste</t>
  </si>
  <si>
    <t xml:space="preserve">Inseridas</t>
  </si>
  <si>
    <t xml:space="preserve">Identificadas</t>
  </si>
  <si>
    <t xml:space="preserve">Verdadeiros positivos</t>
  </si>
  <si>
    <t xml:space="preserve">Falsos positivos</t>
  </si>
  <si>
    <t xml:space="preserve">Falsos negativos</t>
  </si>
  <si>
    <t xml:space="preserve">Precisao</t>
  </si>
  <si>
    <t xml:space="preserve">Cobertura</t>
  </si>
  <si>
    <t xml:space="preserve">Distorcao inserida (mil)</t>
  </si>
  <si>
    <t xml:space="preserve">Distorcao identificada (mil)</t>
  </si>
  <si>
    <t xml:space="preserve">S-01</t>
  </si>
  <si>
    <t xml:space="preserve">T-04</t>
  </si>
  <si>
    <t xml:space="preserve">S-02</t>
  </si>
  <si>
    <t xml:space="preserve">T-05 (estagio 2)</t>
  </si>
  <si>
    <t xml:space="preserve">S-03</t>
  </si>
  <si>
    <t xml:space="preserve">T-06</t>
  </si>
  <si>
    <t xml:space="preserve">S-04</t>
  </si>
  <si>
    <t xml:space="preserve">T-03</t>
  </si>
  <si>
    <t xml:space="preserve">Total</t>
  </si>
  <si>
    <t xml:space="preserve">Nota: T-05 estagio 1 (automatico) listou 360 unidades, das quais 200 eram falsos positivos (ampliacao de capacidade apos manutencao) resolvidos pela leitura do texto.</t>
  </si>
  <si>
    <t xml:space="preserve">PT 450 - Mapa de distorcoes (SINTETICAS), R$ mil</t>
  </si>
  <si>
    <t xml:space="preserve">S-01 a S-04 inseridas e confirmadas pelos testes; S-05 e julgamental, fora da base (PT 540), valor sintetico</t>
  </si>
  <si>
    <t xml:space="preserve">Cod.</t>
  </si>
  <si>
    <t xml:space="preserve">Descricao</t>
  </si>
  <si>
    <t xml:space="preserve">Situacao</t>
  </si>
  <si>
    <t xml:space="preserve">Fonte do valor</t>
  </si>
  <si>
    <t xml:space="preserve">Corte: obras de jan/2026 capitalizadas em dez/2025</t>
  </si>
  <si>
    <t xml:space="preserve">Fato</t>
  </si>
  <si>
    <t xml:space="preserve">Nao corrigida</t>
  </si>
  <si>
    <t xml:space="preserve">Base sintetica (T-04)</t>
  </si>
  <si>
    <t xml:space="preserve">Classificacao: manutencao capitalizada</t>
  </si>
  <si>
    <t xml:space="preserve">Base sintetica (T-05)</t>
  </si>
  <si>
    <t xml:space="preserve">Amortizacao: vida util registrada maior que a padrao</t>
  </si>
  <si>
    <t xml:space="preserve">Corrigida</t>
  </si>
  <si>
    <t xml:space="preserve">Base sintetica (T-06)</t>
  </si>
  <si>
    <t xml:space="preserve">Duplicidade de unidades</t>
  </si>
  <si>
    <t xml:space="preserve">Base sintetica (T-03)</t>
  </si>
  <si>
    <t xml:space="preserve">S-05</t>
  </si>
  <si>
    <t xml:space="preserve">Estimativa do ativo financeiro: premissa x faixa do auditor</t>
  </si>
  <si>
    <t xml:space="preserve">Julgamento</t>
  </si>
  <si>
    <t xml:space="preserve">Valor sintetico provisorio (fora da base)</t>
  </si>
  <si>
    <t xml:space="preserve">Corrigidas</t>
  </si>
  <si>
    <t xml:space="preserve">Nao corrigidas (agregado)</t>
  </si>
  <si>
    <t xml:space="preserve">Nao corrigidas / ME</t>
  </si>
  <si>
    <t xml:space="preserve">Nao corrigidas / LAIR</t>
  </si>
  <si>
    <t xml:space="preserve">Itens acima do limite trivial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</si>
</sst>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0%"/>
    <numFmt numFmtId="167" formatCode="#,##0.0;\(#,##0.0\);\-"/>
    <numFmt numFmtId="168" formatCode="0.00"/>
    <numFmt numFmtId="169" formatCode="#,##0.000"/>
    <numFmt numFmtId="170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</row>
    <row r="5" customFormat="false" ht="15" hidden="false" customHeight="false" outlineLevel="0" collapsed="false">
      <c r="A5" s="5" t="s">
        <v>15</v>
      </c>
      <c r="B5" s="6" t="n">
        <v>11701851</v>
      </c>
      <c r="C5" s="7" t="n">
        <v>0.05</v>
      </c>
      <c r="D5" s="8" t="n">
        <f aca="false">B5*C5</f>
        <v>585092.55</v>
      </c>
      <c r="E5" s="5" t="s">
        <v>16</v>
      </c>
      <c r="F5" s="5" t="s">
        <v>17</v>
      </c>
    </row>
    <row r="6" customFormat="false" ht="15" hidden="false" customHeight="false" outlineLevel="0" collapsed="false">
      <c r="A6" s="5" t="s">
        <v>18</v>
      </c>
      <c r="B6" s="6" t="n">
        <v>38092050</v>
      </c>
      <c r="C6" s="7" t="n">
        <v>0.01</v>
      </c>
      <c r="D6" s="8" t="n">
        <f aca="false">B6*C6</f>
        <v>380920.5</v>
      </c>
      <c r="E6" s="5" t="s">
        <v>19</v>
      </c>
      <c r="F6" s="5" t="s">
        <v>17</v>
      </c>
    </row>
    <row r="7" customFormat="false" ht="15" hidden="false" customHeight="false" outlineLevel="0" collapsed="false">
      <c r="A7" s="5" t="s">
        <v>20</v>
      </c>
      <c r="B7" s="6" t="n">
        <v>104202767</v>
      </c>
      <c r="C7" s="7" t="n">
        <v>0.005</v>
      </c>
      <c r="D7" s="8" t="n">
        <f aca="false">B7*C7</f>
        <v>521013.835</v>
      </c>
      <c r="E7" s="5" t="s">
        <v>19</v>
      </c>
      <c r="F7" s="5" t="s">
        <v>21</v>
      </c>
    </row>
    <row r="8" customFormat="false" ht="15" hidden="false" customHeight="false" outlineLevel="0" collapsed="false">
      <c r="A8" s="5" t="s">
        <v>22</v>
      </c>
      <c r="B8" s="6" t="n">
        <v>42401124</v>
      </c>
      <c r="C8" s="7" t="n">
        <v>0.01</v>
      </c>
      <c r="D8" s="8" t="n">
        <f aca="false">B8*C8</f>
        <v>424011.24</v>
      </c>
      <c r="E8" s="5" t="s">
        <v>19</v>
      </c>
      <c r="F8" s="5" t="s">
        <v>23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s">
        <v>26</v>
      </c>
      <c r="D11" s="4" t="s">
        <v>27</v>
      </c>
      <c r="E11" s="4"/>
      <c r="F11" s="4"/>
    </row>
    <row r="12" customFormat="false" ht="15" hidden="false" customHeight="false" outlineLevel="0" collapsed="false">
      <c r="A12" s="9" t="s">
        <v>28</v>
      </c>
      <c r="B12" s="10" t="n">
        <f aca="false">ROUND(D5,0)</f>
        <v>585093</v>
      </c>
      <c r="C12" s="5" t="s">
        <v>29</v>
      </c>
    </row>
    <row r="13" customFormat="false" ht="15" hidden="false" customHeight="false" outlineLevel="0" collapsed="false">
      <c r="A13" s="5" t="s">
        <v>30</v>
      </c>
      <c r="B13" s="7" t="n">
        <v>0.7</v>
      </c>
      <c r="C13" s="5" t="s">
        <v>31</v>
      </c>
    </row>
    <row r="14" customFormat="false" ht="15" hidden="false" customHeight="false" outlineLevel="0" collapsed="false">
      <c r="A14" s="9" t="s">
        <v>32</v>
      </c>
      <c r="B14" s="10" t="n">
        <f aca="false">ROUND(B12*B13,0)</f>
        <v>409565</v>
      </c>
    </row>
    <row r="15" customFormat="false" ht="15" hidden="false" customHeight="false" outlineLevel="0" collapsed="false">
      <c r="A15" s="5" t="s">
        <v>33</v>
      </c>
      <c r="B15" s="7" t="n">
        <v>0.05</v>
      </c>
      <c r="C15" s="5" t="s">
        <v>34</v>
      </c>
    </row>
    <row r="16" customFormat="false" ht="15" hidden="false" customHeight="false" outlineLevel="0" collapsed="false">
      <c r="A16" s="5" t="s">
        <v>35</v>
      </c>
      <c r="B16" s="8" t="n">
        <f aca="false">ROUND(B12*B15,0)</f>
        <v>29255</v>
      </c>
    </row>
    <row r="17" customFormat="false" ht="15" hidden="false" customHeight="false" outlineLevel="0" collapsed="false">
      <c r="A17" s="5" t="s">
        <v>36</v>
      </c>
      <c r="B17" s="7" t="n">
        <v>0.5</v>
      </c>
    </row>
    <row r="18" customFormat="false" ht="15" hidden="false" customHeight="false" outlineLevel="0" collapsed="false">
      <c r="A18" s="5" t="s">
        <v>37</v>
      </c>
      <c r="B18" s="8" t="n">
        <f aca="false">ROUND(B12*B17,0)</f>
        <v>292547</v>
      </c>
    </row>
    <row r="19" customFormat="false" ht="15" hidden="false" customHeight="false" outlineLevel="0" collapsed="false">
      <c r="A19" s="5" t="s">
        <v>38</v>
      </c>
      <c r="B19" s="8" t="n">
        <f aca="false">ROUND(B14*0.25,0)</f>
        <v>102391</v>
      </c>
      <c r="C19" s="5" t="s">
        <v>39</v>
      </c>
    </row>
    <row r="20" customFormat="false" ht="15" hidden="false" customHeight="false" outlineLevel="0" collapsed="false">
      <c r="A20" s="5" t="s">
        <v>40</v>
      </c>
      <c r="B20" s="11" t="n">
        <f aca="false">B12/B6</f>
        <v>0.0153599766880491</v>
      </c>
    </row>
    <row r="21" customFormat="false" ht="15" hidden="false" customHeight="false" outlineLevel="0" collapsed="false">
      <c r="A21" s="5" t="s">
        <v>41</v>
      </c>
      <c r="B21" s="11" t="n">
        <f aca="false">B12/B7</f>
        <v>0.00561494686604627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23.85" hidden="false" customHeight="fals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14</v>
      </c>
    </row>
    <row r="5" customFormat="false" ht="15" hidden="false" customHeight="false" outlineLevel="0" collapsed="false">
      <c r="A5" s="5" t="s">
        <v>54</v>
      </c>
      <c r="B5" s="6" t="n">
        <v>44771124</v>
      </c>
      <c r="C5" s="6" t="n">
        <v>3207</v>
      </c>
      <c r="D5" s="6" t="n">
        <v>8117869</v>
      </c>
      <c r="E5" s="6" t="n">
        <v>-139884</v>
      </c>
      <c r="F5" s="6" t="n">
        <v>-98731</v>
      </c>
      <c r="G5" s="6" t="n">
        <v>-2161112</v>
      </c>
      <c r="H5" s="8" t="n">
        <f aca="false">SUM(B5:G5)</f>
        <v>50492473</v>
      </c>
      <c r="I5" s="6" t="n">
        <v>50492473</v>
      </c>
      <c r="J5" s="10" t="n">
        <f aca="false">H5-I5</f>
        <v>0</v>
      </c>
      <c r="K5" s="5" t="s">
        <v>55</v>
      </c>
    </row>
    <row r="6" customFormat="false" ht="15" hidden="false" customHeight="false" outlineLevel="0" collapsed="false">
      <c r="A6" s="5" t="s">
        <v>56</v>
      </c>
      <c r="B6" s="6" t="n">
        <v>137725</v>
      </c>
      <c r="C6" s="6" t="n">
        <v>75089</v>
      </c>
      <c r="D6" s="6" t="n">
        <v>3730121</v>
      </c>
      <c r="E6" s="6" t="n">
        <v>45946471</v>
      </c>
      <c r="F6" s="6" t="n">
        <v>551102</v>
      </c>
      <c r="G6" s="6" t="n">
        <v>51965</v>
      </c>
      <c r="H6" s="8" t="n">
        <f aca="false">SUM(B6:G6)</f>
        <v>50492473</v>
      </c>
      <c r="I6" s="6" t="n">
        <v>50492473</v>
      </c>
      <c r="J6" s="10" t="n">
        <f aca="false">H6-I6</f>
        <v>0</v>
      </c>
      <c r="K6" s="5" t="s">
        <v>57</v>
      </c>
    </row>
    <row r="7" customFormat="false" ht="15" hidden="false" customHeight="false" outlineLevel="0" collapsed="false">
      <c r="A7" s="5" t="s">
        <v>58</v>
      </c>
      <c r="B7" s="6" t="n">
        <v>4877667</v>
      </c>
      <c r="C7" s="6" t="n">
        <v>16684564</v>
      </c>
      <c r="D7" s="6" t="n">
        <v>-62684</v>
      </c>
      <c r="E7" s="6" t="n">
        <v>24108</v>
      </c>
      <c r="F7" s="6" t="n">
        <v>-8117869</v>
      </c>
      <c r="G7" s="6" t="n">
        <v>-2387270</v>
      </c>
      <c r="H7" s="8" t="n">
        <f aca="false">SUM(B7:G7)</f>
        <v>11018516</v>
      </c>
      <c r="I7" s="6" t="n">
        <v>11018516</v>
      </c>
      <c r="J7" s="10" t="n">
        <f aca="false">H7-I7</f>
        <v>0</v>
      </c>
      <c r="K7" s="5" t="s">
        <v>59</v>
      </c>
    </row>
    <row r="8" customFormat="false" ht="15" hidden="false" customHeight="false" outlineLevel="0" collapsed="false">
      <c r="A8" s="5" t="s">
        <v>60</v>
      </c>
      <c r="B8" s="6" t="n">
        <v>17601626</v>
      </c>
      <c r="C8" s="6" t="n">
        <v>2387270</v>
      </c>
      <c r="D8" s="6" t="n">
        <v>1676434</v>
      </c>
      <c r="E8" s="6"/>
      <c r="F8" s="6"/>
      <c r="G8" s="6"/>
      <c r="H8" s="8" t="n">
        <f aca="false">SUM(B8:G8)</f>
        <v>21665330</v>
      </c>
      <c r="I8" s="6" t="n">
        <v>21665330</v>
      </c>
      <c r="J8" s="10" t="n">
        <f aca="false">H8-I8</f>
        <v>0</v>
      </c>
      <c r="K8" s="5" t="s">
        <v>61</v>
      </c>
    </row>
    <row r="9" customFormat="false" ht="15" hidden="false" customHeight="false" outlineLevel="0" collapsed="false">
      <c r="A9" s="5" t="s">
        <v>62</v>
      </c>
      <c r="B9" s="6" t="n">
        <v>24761056</v>
      </c>
      <c r="C9" s="6" t="n">
        <v>14437363</v>
      </c>
      <c r="D9" s="6" t="n">
        <v>-966169</v>
      </c>
      <c r="E9" s="6" t="n">
        <v>1676434</v>
      </c>
      <c r="F9" s="6" t="n">
        <v>-1702667</v>
      </c>
      <c r="G9" s="6" t="n">
        <v>-113967</v>
      </c>
      <c r="H9" s="8" t="n">
        <f aca="false">SUM(B9:G9)</f>
        <v>38092050</v>
      </c>
      <c r="I9" s="6" t="n">
        <v>38092050</v>
      </c>
      <c r="J9" s="10" t="n">
        <f aca="false">H9-I9</f>
        <v>0</v>
      </c>
      <c r="K9" s="5" t="s">
        <v>63</v>
      </c>
    </row>
    <row r="10" customFormat="false" ht="15" hidden="false" customHeight="false" outlineLevel="0" collapsed="false">
      <c r="A10" s="5" t="s">
        <v>64</v>
      </c>
      <c r="B10" s="6" t="n">
        <v>25471321</v>
      </c>
      <c r="C10" s="6" t="n">
        <v>14437363</v>
      </c>
      <c r="D10" s="6" t="n">
        <v>-1816634</v>
      </c>
      <c r="E10" s="6"/>
      <c r="F10" s="6"/>
      <c r="G10" s="6"/>
      <c r="H10" s="8" t="n">
        <f aca="false">SUM(B10:G10)</f>
        <v>38092050</v>
      </c>
      <c r="I10" s="6" t="n">
        <v>38092050</v>
      </c>
      <c r="J10" s="10" t="n">
        <f aca="false">H10-I10</f>
        <v>0</v>
      </c>
      <c r="K10" s="5" t="s">
        <v>65</v>
      </c>
    </row>
    <row r="11" customFormat="false" ht="15" hidden="false" customHeight="false" outlineLevel="0" collapsed="false">
      <c r="A11" s="5" t="s">
        <v>66</v>
      </c>
      <c r="B11" s="6" t="n">
        <v>18556510</v>
      </c>
      <c r="C11" s="6" t="n">
        <v>85646257</v>
      </c>
      <c r="D11" s="6"/>
      <c r="E11" s="6"/>
      <c r="F11" s="6"/>
      <c r="G11" s="6"/>
      <c r="H11" s="8" t="n">
        <f aca="false">SUM(B11:G11)</f>
        <v>104202767</v>
      </c>
      <c r="I11" s="6" t="n">
        <v>104202767</v>
      </c>
      <c r="J11" s="10" t="n">
        <f aca="false">H11-I11</f>
        <v>0</v>
      </c>
      <c r="K11" s="5" t="s">
        <v>67</v>
      </c>
    </row>
    <row r="12" customFormat="false" ht="15" hidden="false" customHeight="false" outlineLevel="0" collapsed="false">
      <c r="A12" s="5" t="s">
        <v>68</v>
      </c>
      <c r="B12" s="6" t="n">
        <v>16552914</v>
      </c>
      <c r="C12" s="6" t="n">
        <v>45248729</v>
      </c>
      <c r="D12" s="6" t="n">
        <v>42401124</v>
      </c>
      <c r="E12" s="6"/>
      <c r="F12" s="6"/>
      <c r="G12" s="6"/>
      <c r="H12" s="8" t="n">
        <f aca="false">SUM(B12:G12)</f>
        <v>104202767</v>
      </c>
      <c r="I12" s="6" t="n">
        <v>104202767</v>
      </c>
      <c r="J12" s="10" t="n">
        <f aca="false">H12-I12</f>
        <v>0</v>
      </c>
      <c r="K12" s="5" t="s">
        <v>69</v>
      </c>
    </row>
    <row r="13" customFormat="false" ht="15" hidden="false" customHeight="false" outlineLevel="0" collapsed="false">
      <c r="A13" s="5" t="s">
        <v>70</v>
      </c>
      <c r="B13" s="6" t="n">
        <v>11701851</v>
      </c>
      <c r="C13" s="6" t="n">
        <v>-3239792</v>
      </c>
      <c r="D13" s="6"/>
      <c r="E13" s="6"/>
      <c r="F13" s="6"/>
      <c r="G13" s="6"/>
      <c r="H13" s="8" t="n">
        <f aca="false">SUM(B13:G13)</f>
        <v>8462059</v>
      </c>
      <c r="I13" s="6" t="n">
        <v>8462059</v>
      </c>
      <c r="J13" s="10" t="n">
        <f aca="false">H13-I13</f>
        <v>0</v>
      </c>
      <c r="K13" s="5" t="s">
        <v>71</v>
      </c>
    </row>
    <row r="14" customFormat="false" ht="15" hidden="false" customHeight="false" outlineLevel="0" collapsed="false">
      <c r="A14" s="5" t="s">
        <v>72</v>
      </c>
      <c r="B14" s="6" t="n">
        <v>8361115</v>
      </c>
      <c r="C14" s="6" t="n">
        <v>-15703622</v>
      </c>
      <c r="D14" s="6" t="n">
        <v>10323127</v>
      </c>
      <c r="E14" s="6"/>
      <c r="F14" s="6"/>
      <c r="G14" s="6"/>
      <c r="H14" s="8" t="n">
        <f aca="false">SUM(B14:G14)</f>
        <v>2980620</v>
      </c>
      <c r="I14" s="6" t="n">
        <v>2980620</v>
      </c>
      <c r="J14" s="10" t="n">
        <f aca="false">H14-I14</f>
        <v>0</v>
      </c>
      <c r="K14" s="5" t="s">
        <v>73</v>
      </c>
    </row>
    <row r="15" customFormat="false" ht="15" hidden="false" customHeight="false" outlineLevel="0" collapsed="false">
      <c r="A15" s="5" t="s">
        <v>74</v>
      </c>
      <c r="B15" s="6" t="n">
        <v>1682606</v>
      </c>
      <c r="C15" s="6" t="n">
        <v>2980620</v>
      </c>
      <c r="D15" s="6"/>
      <c r="E15" s="6"/>
      <c r="F15" s="6"/>
      <c r="G15" s="6"/>
      <c r="H15" s="8" t="n">
        <f aca="false">SUM(B15:G15)</f>
        <v>4663226</v>
      </c>
      <c r="I15" s="6" t="n">
        <v>4663226</v>
      </c>
      <c r="J15" s="10" t="n">
        <f aca="false">H15-I15</f>
        <v>0</v>
      </c>
      <c r="K15" s="5" t="s">
        <v>67</v>
      </c>
    </row>
    <row r="16" customFormat="false" ht="15" hidden="false" customHeight="false" outlineLevel="0" collapsed="false">
      <c r="A16" s="5" t="s">
        <v>75</v>
      </c>
      <c r="B16" s="6" t="n">
        <v>40142347</v>
      </c>
      <c r="C16" s="6" t="n">
        <v>-4663226</v>
      </c>
      <c r="D16" s="6" t="n">
        <v>-7707745</v>
      </c>
      <c r="E16" s="6"/>
      <c r="F16" s="6"/>
      <c r="G16" s="6"/>
      <c r="H16" s="8" t="n">
        <f aca="false">SUM(B16:G16)</f>
        <v>27771376</v>
      </c>
      <c r="I16" s="6" t="n">
        <v>27771376</v>
      </c>
      <c r="J16" s="10" t="n">
        <f aca="false">H16-I16</f>
        <v>0</v>
      </c>
      <c r="K16" s="5" t="s">
        <v>76</v>
      </c>
    </row>
    <row r="17" customFormat="false" ht="15" hidden="false" customHeight="false" outlineLevel="0" collapsed="false">
      <c r="A17" s="5" t="s">
        <v>77</v>
      </c>
      <c r="B17" s="6" t="n">
        <v>132901</v>
      </c>
      <c r="C17" s="6" t="n">
        <v>51282</v>
      </c>
      <c r="D17" s="6" t="n">
        <v>153711</v>
      </c>
      <c r="E17" s="6" t="n">
        <v>11590</v>
      </c>
      <c r="F17" s="6" t="n">
        <v>1393402</v>
      </c>
      <c r="G17" s="6" t="n">
        <v>160526</v>
      </c>
      <c r="H17" s="8" t="n">
        <f aca="false">SUM(B17:G17)</f>
        <v>1903412</v>
      </c>
      <c r="I17" s="6" t="n">
        <v>1903412</v>
      </c>
      <c r="J17" s="10" t="n">
        <f aca="false">H17-I17</f>
        <v>0</v>
      </c>
      <c r="K17" s="5" t="s">
        <v>78</v>
      </c>
    </row>
    <row r="19" customFormat="false" ht="15" hidden="false" customHeight="false" outlineLevel="0" collapsed="false">
      <c r="A19" s="9" t="s">
        <v>79</v>
      </c>
      <c r="J19" s="10" t="n">
        <f aca="false">SUMPRODUCT(ABS(J5:J17))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70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A3" s="5" t="s">
        <v>82</v>
      </c>
      <c r="B3" s="7" t="n">
        <v>0.0426</v>
      </c>
      <c r="C3" s="5" t="s">
        <v>83</v>
      </c>
      <c r="D3" s="8" t="n">
        <f aca="false">Materialidade!B19</f>
        <v>102391</v>
      </c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53</v>
      </c>
      <c r="G5" s="4" t="s">
        <v>89</v>
      </c>
      <c r="H5" s="4" t="s">
        <v>90</v>
      </c>
    </row>
    <row r="6" customFormat="false" ht="15" hidden="false" customHeight="false" outlineLevel="0" collapsed="false">
      <c r="A6" s="5" t="s">
        <v>91</v>
      </c>
      <c r="B6" s="6" t="n">
        <v>23894855</v>
      </c>
      <c r="C6" s="6"/>
      <c r="D6" s="6" t="n">
        <v>24761056</v>
      </c>
      <c r="E6" s="8" t="n">
        <f aca="false">B6*(1+$B$3)</f>
        <v>24912775.823</v>
      </c>
      <c r="F6" s="8" t="n">
        <f aca="false">D6-E6</f>
        <v>-151719.822999999</v>
      </c>
      <c r="G6" s="5" t="str">
        <f aca="false">IF(ABS(F6)&gt;$D$3,"Sim","Nao")</f>
        <v>Sim</v>
      </c>
      <c r="H6" s="5" t="s">
        <v>92</v>
      </c>
    </row>
    <row r="7" customFormat="false" ht="15" hidden="false" customHeight="false" outlineLevel="0" collapsed="false">
      <c r="A7" s="5" t="s">
        <v>93</v>
      </c>
      <c r="B7" s="6" t="n">
        <v>17601626</v>
      </c>
      <c r="C7" s="6" t="n">
        <v>2387270</v>
      </c>
      <c r="D7" s="6" t="n">
        <v>1676434</v>
      </c>
      <c r="E7" s="8" t="n">
        <f aca="false">B7*$B$3+C7*$B$3/2</f>
        <v>800678.1186</v>
      </c>
      <c r="F7" s="8" t="n">
        <f aca="false">D7-E7</f>
        <v>875755.8814</v>
      </c>
      <c r="G7" s="5" t="str">
        <f aca="false">IF(ABS(F7)&gt;$D$3,"Sim","Nao")</f>
        <v>Sim</v>
      </c>
      <c r="H7" s="5" t="s">
        <v>94</v>
      </c>
    </row>
    <row r="8" customFormat="false" ht="15" hidden="false" customHeight="false" outlineLevel="0" collapsed="false">
      <c r="A8" s="5" t="s">
        <v>95</v>
      </c>
      <c r="B8" s="6" t="n">
        <v>911134</v>
      </c>
      <c r="C8" s="6"/>
      <c r="D8" s="6" t="n">
        <v>1765919</v>
      </c>
      <c r="E8" s="8" t="n">
        <f aca="false">B8*2</f>
        <v>1822268</v>
      </c>
      <c r="F8" s="8" t="n">
        <f aca="false">D8-E8</f>
        <v>-56349</v>
      </c>
      <c r="G8" s="5" t="str">
        <f aca="false">IF(ABS(F8)&gt;$D$3,"Sim","Nao")</f>
        <v>Nao</v>
      </c>
      <c r="H8" s="5" t="s">
        <v>96</v>
      </c>
    </row>
    <row r="9" customFormat="false" ht="15" hidden="false" customHeight="false" outlineLevel="0" collapsed="false">
      <c r="A9" s="5" t="s">
        <v>97</v>
      </c>
      <c r="B9" s="6" t="n">
        <v>11701851</v>
      </c>
      <c r="C9" s="6" t="n">
        <v>48153</v>
      </c>
      <c r="D9" s="6" t="n">
        <v>3239792</v>
      </c>
      <c r="E9" s="8" t="n">
        <f aca="false">0.34*(B9-C9)-0.34*1800000</f>
        <v>3350257.32</v>
      </c>
      <c r="F9" s="8" t="n">
        <f aca="false">D9-E9</f>
        <v>-110465.32</v>
      </c>
      <c r="G9" s="5" t="str">
        <f aca="false">IF(ABS(F9)&gt;$D$3,"Sim","Nao")</f>
        <v>Sim</v>
      </c>
      <c r="H9" s="5" t="s">
        <v>98</v>
      </c>
    </row>
    <row r="10" customFormat="false" ht="15" hidden="false" customHeight="false" outlineLevel="0" collapsed="false">
      <c r="A10" s="5" t="s">
        <v>99</v>
      </c>
      <c r="B10" s="6" t="n">
        <v>557789</v>
      </c>
      <c r="C10" s="6" t="n">
        <v>23894855</v>
      </c>
      <c r="D10" s="6" t="n">
        <v>62067</v>
      </c>
      <c r="E10" s="8" t="n">
        <f aca="false">B10/C10*D6</f>
        <v>578009.14318936</v>
      </c>
      <c r="F10" s="8" t="n">
        <f aca="false">D10-E10</f>
        <v>-515942.14318936</v>
      </c>
      <c r="G10" s="5" t="str">
        <f aca="false">IF(ABS(F10)&gt;$D$3,"Sim","Nao")</f>
        <v>Sim</v>
      </c>
      <c r="H10" s="5" t="s">
        <v>100</v>
      </c>
    </row>
    <row r="11" customFormat="false" ht="15" hidden="false" customHeight="false" outlineLevel="0" collapsed="false">
      <c r="A11" s="5" t="s">
        <v>101</v>
      </c>
      <c r="B11" s="6" t="n">
        <v>2311438</v>
      </c>
      <c r="C11" s="6"/>
      <c r="D11" s="6" t="n">
        <v>1018282</v>
      </c>
      <c r="E11" s="8" t="n">
        <f aca="false">B11*(1+$B$3)</f>
        <v>2409905.2588</v>
      </c>
      <c r="F11" s="8" t="n">
        <f aca="false">D11-E11</f>
        <v>-1391623.2588</v>
      </c>
      <c r="G11" s="5" t="str">
        <f aca="false">IF(ABS(F11)&gt;$D$3,"Sim","Nao")</f>
        <v>Sim</v>
      </c>
      <c r="H11" s="5" t="s">
        <v>92</v>
      </c>
    </row>
    <row r="13" customFormat="false" ht="15" hidden="false" customHeight="false" outlineLevel="0" collapsed="false">
      <c r="A13" s="9" t="s">
        <v>102</v>
      </c>
    </row>
    <row r="14" customFormat="false" ht="15" hidden="false" customHeight="false" outlineLevel="0" collapsed="false">
      <c r="A14" s="5" t="s">
        <v>103</v>
      </c>
      <c r="B14" s="6" t="n">
        <v>501786</v>
      </c>
      <c r="C14" s="6" t="n">
        <v>-401667</v>
      </c>
      <c r="D14" s="6" t="n">
        <v>-29099</v>
      </c>
      <c r="E14" s="6" t="n">
        <v>-8953</v>
      </c>
      <c r="F14" s="10" t="n">
        <f aca="false">SUM(B14:E14)</f>
        <v>62067</v>
      </c>
      <c r="G14" s="8" t="n">
        <f aca="false">F14-D10</f>
        <v>0</v>
      </c>
      <c r="H14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107</v>
      </c>
      <c r="B4" s="6" t="n">
        <v>17601626</v>
      </c>
    </row>
    <row r="5" customFormat="false" ht="15" hidden="false" customHeight="false" outlineLevel="0" collapsed="false">
      <c r="A5" s="5" t="s">
        <v>108</v>
      </c>
      <c r="B5" s="6" t="n">
        <v>2387270</v>
      </c>
    </row>
    <row r="6" customFormat="false" ht="15" hidden="false" customHeight="false" outlineLevel="0" collapsed="false">
      <c r="A6" s="5" t="s">
        <v>109</v>
      </c>
      <c r="B6" s="6" t="n">
        <v>21665330</v>
      </c>
    </row>
    <row r="7" customFormat="false" ht="15" hidden="false" customHeight="false" outlineLevel="0" collapsed="false">
      <c r="A7" s="5" t="s">
        <v>110</v>
      </c>
      <c r="B7" s="8" t="n">
        <f aca="false">B4+B5/2</f>
        <v>18795261</v>
      </c>
    </row>
    <row r="8" customFormat="false" ht="15" hidden="false" customHeight="false" outlineLevel="0" collapsed="false">
      <c r="A8" s="5" t="s">
        <v>111</v>
      </c>
      <c r="B8" s="6" t="n">
        <v>1000000</v>
      </c>
    </row>
    <row r="10" customFormat="false" ht="15" hidden="false" customHeight="false" outlineLevel="0" collapsed="false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117</v>
      </c>
    </row>
    <row r="11" customFormat="false" ht="15" hidden="false" customHeight="false" outlineLevel="0" collapsed="false">
      <c r="A11" s="5" t="s">
        <v>118</v>
      </c>
      <c r="B11" s="7" t="n">
        <v>0.01</v>
      </c>
      <c r="C11" s="8" t="n">
        <f aca="false">B7*B11</f>
        <v>187952.61</v>
      </c>
      <c r="D11" s="11" t="n">
        <f aca="false">C11/Materialidade!$B$12</f>
        <v>0.321235444621624</v>
      </c>
      <c r="E11" s="11" t="n">
        <f aca="false">C11/Materialidade!$B$14</f>
        <v>0.458907890078498</v>
      </c>
      <c r="F11" s="5" t="str">
        <f aca="false">IF(C11&gt;=Materialidade!$B$14,"Acima da ME",IF(C11&gt;=Materialidade!$B$12*0.5,"Entre 50% da MG e a ME","Abaixo"))</f>
        <v>Abaixo</v>
      </c>
    </row>
    <row r="12" customFormat="false" ht="15" hidden="false" customHeight="false" outlineLevel="0" collapsed="false">
      <c r="A12" s="5" t="s">
        <v>119</v>
      </c>
      <c r="B12" s="7" t="n">
        <v>0.25</v>
      </c>
      <c r="C12" s="8" t="n">
        <f aca="false">B8*B12</f>
        <v>250000</v>
      </c>
      <c r="D12" s="11" t="n">
        <f aca="false">C12/Materialidade!$B$12</f>
        <v>0.427282500388827</v>
      </c>
      <c r="E12" s="11" t="n">
        <f aca="false">C12/Materialidade!$B$14</f>
        <v>0.610403721021083</v>
      </c>
      <c r="F12" s="5" t="str">
        <f aca="false">IF(C12&gt;=Materialidade!$B$14,"Acima da ME",IF(C12&gt;=Materialidade!$B$12*0.5,"Entre 50% da MG e a ME","Abaixo"))</f>
        <v>Abaixo</v>
      </c>
    </row>
    <row r="13" customFormat="false" ht="15" hidden="false" customHeight="false" outlineLevel="0" collapsed="false">
      <c r="A13" s="5" t="s">
        <v>120</v>
      </c>
      <c r="B13" s="7" t="n">
        <v>0.05</v>
      </c>
      <c r="C13" s="8" t="n">
        <f aca="false">B6*B13</f>
        <v>1083266.5</v>
      </c>
      <c r="D13" s="11" t="n">
        <f aca="false">C13/Materialidade!$B$12</f>
        <v>1.85144327482981</v>
      </c>
      <c r="E13" s="11" t="n">
        <f aca="false">C13/Materialidade!$B$14</f>
        <v>2.64491960982994</v>
      </c>
      <c r="F13" s="5" t="str">
        <f aca="false">IF(C13&gt;=Materialidade!$B$14,"Acima da ME",IF(C13&gt;=Materialidade!$B$12*0.5,"Entre 50% da MG e a ME","Abaixo"))</f>
        <v>Acima da ME</v>
      </c>
    </row>
    <row r="14" customFormat="false" ht="15" hidden="false" customHeight="false" outlineLevel="0" collapsed="false">
      <c r="A14" s="5" t="s">
        <v>121</v>
      </c>
      <c r="B14" s="7" t="n">
        <v>0.01</v>
      </c>
      <c r="C14" s="8" t="n">
        <f aca="false">B6*B14</f>
        <v>216653.3</v>
      </c>
      <c r="D14" s="11" t="n">
        <f aca="false">C14/Materialidade!$B$12</f>
        <v>0.370288654965963</v>
      </c>
      <c r="E14" s="11" t="n">
        <f aca="false">C14/Materialidade!$B$14</f>
        <v>0.528983921965988</v>
      </c>
      <c r="F14" s="5" t="str">
        <f aca="false">IF(C14&gt;=Materialidade!$B$14,"Acima da ME",IF(C14&gt;=Materialidade!$B$12*0.5,"Entre 50% da MG e a ME","Abaixo"))</f>
        <v>Abaixo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5" t="s">
        <v>124</v>
      </c>
      <c r="B4" s="12" t="n">
        <v>50492473</v>
      </c>
    </row>
    <row r="5" customFormat="false" ht="15" hidden="false" customHeight="false" outlineLevel="0" collapsed="false">
      <c r="A5" s="5" t="s">
        <v>125</v>
      </c>
      <c r="B5" s="13" t="n">
        <f aca="false">Materialidade!B14</f>
        <v>409565</v>
      </c>
    </row>
    <row r="6" customFormat="false" ht="15" hidden="false" customHeight="false" outlineLevel="0" collapsed="false">
      <c r="A6" s="5" t="s">
        <v>126</v>
      </c>
      <c r="B6" s="14" t="n">
        <v>3</v>
      </c>
    </row>
    <row r="7" customFormat="false" ht="15" hidden="false" customHeight="false" outlineLevel="0" collapsed="false">
      <c r="A7" s="5" t="s">
        <v>127</v>
      </c>
      <c r="B7" s="14" t="n">
        <v>1.6</v>
      </c>
    </row>
    <row r="8" customFormat="false" ht="15" hidden="false" customHeight="false" outlineLevel="0" collapsed="false">
      <c r="A8" s="5" t="s">
        <v>128</v>
      </c>
      <c r="B8" s="12" t="n">
        <v>40000</v>
      </c>
    </row>
    <row r="9" customFormat="false" ht="15" hidden="false" customHeight="false" outlineLevel="0" collapsed="false">
      <c r="A9" s="9" t="s">
        <v>129</v>
      </c>
      <c r="B9" s="15" t="n">
        <f aca="false">(B5-B8*B7)/B6</f>
        <v>115188.333333333</v>
      </c>
    </row>
    <row r="10" customFormat="false" ht="15" hidden="false" customHeight="false" outlineLevel="0" collapsed="false">
      <c r="A10" s="5" t="s">
        <v>130</v>
      </c>
      <c r="B10" s="13" t="n">
        <f aca="false">B4/B9</f>
        <v>438.347109805681</v>
      </c>
    </row>
    <row r="11" customFormat="false" ht="15" hidden="false" customHeight="false" outlineLevel="0" collapsed="false">
      <c r="A11" s="5" t="s">
        <v>131</v>
      </c>
      <c r="B11" s="13" t="n">
        <f aca="false">B6*B9</f>
        <v>345565</v>
      </c>
    </row>
    <row r="13" customFormat="false" ht="15" hidden="false" customHeight="false" outlineLevel="0" collapsed="false">
      <c r="A13" s="9" t="s">
        <v>132</v>
      </c>
    </row>
    <row r="14" customFormat="false" ht="15" hidden="false" customHeight="false" outlineLevel="0" collapsed="false">
      <c r="A14" s="5" t="s">
        <v>133</v>
      </c>
      <c r="B14" s="12" t="n">
        <v>1</v>
      </c>
    </row>
    <row r="15" customFormat="false" ht="15" hidden="false" customHeight="false" outlineLevel="0" collapsed="false">
      <c r="A15" s="5" t="s">
        <v>134</v>
      </c>
      <c r="B15" s="12" t="n">
        <v>438</v>
      </c>
    </row>
    <row r="16" customFormat="false" ht="15" hidden="false" customHeight="false" outlineLevel="0" collapsed="false">
      <c r="A16" s="5" t="s">
        <v>135</v>
      </c>
      <c r="B16" s="12" t="n">
        <v>439</v>
      </c>
    </row>
    <row r="17" customFormat="false" ht="15" hidden="false" customHeight="false" outlineLevel="0" collapsed="false">
      <c r="A17" s="5" t="s">
        <v>136</v>
      </c>
      <c r="B17" s="12" t="n">
        <v>3</v>
      </c>
    </row>
    <row r="18" customFormat="false" ht="15" hidden="false" customHeight="false" outlineLevel="0" collapsed="false">
      <c r="A18" s="5" t="s">
        <v>137</v>
      </c>
      <c r="B18" s="12" t="n">
        <v>27187.2</v>
      </c>
    </row>
    <row r="19" customFormat="false" ht="15" hidden="false" customHeight="false" outlineLevel="0" collapsed="false">
      <c r="A19" s="5" t="s">
        <v>138</v>
      </c>
      <c r="B19" s="12" t="n">
        <v>362072.3</v>
      </c>
    </row>
    <row r="20" customFormat="false" ht="15" hidden="false" customHeight="false" outlineLevel="0" collapsed="false">
      <c r="A20" s="5" t="s">
        <v>139</v>
      </c>
      <c r="B20" s="12" t="n">
        <v>135634.6</v>
      </c>
    </row>
    <row r="22" customFormat="false" ht="15" hidden="false" customHeight="false" outlineLevel="0" collapsed="false">
      <c r="A22" s="9" t="s">
        <v>140</v>
      </c>
      <c r="B22" s="9" t="str">
        <f aca="false">IF(B19&lt;B5,"Sim","Nao")</f>
        <v>Sim</v>
      </c>
    </row>
    <row r="23" customFormat="false" ht="15" hidden="false" customHeight="false" outlineLevel="0" collapsed="false">
      <c r="A23" s="5" t="s">
        <v>141</v>
      </c>
      <c r="B23" s="11" t="n">
        <f aca="false">B18/B20</f>
        <v>0.200444429371267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3.85" hidden="false" customHeight="false" outlineLevel="0" collapsed="false">
      <c r="A4" s="4" t="s">
        <v>144</v>
      </c>
      <c r="B4" s="4" t="s">
        <v>145</v>
      </c>
      <c r="C4" s="4" t="s">
        <v>146</v>
      </c>
      <c r="D4" s="4" t="s">
        <v>147</v>
      </c>
      <c r="E4" s="4" t="s">
        <v>148</v>
      </c>
      <c r="F4" s="4" t="s">
        <v>149</v>
      </c>
      <c r="G4" s="4" t="s">
        <v>150</v>
      </c>
      <c r="H4" s="4" t="s">
        <v>151</v>
      </c>
      <c r="I4" s="4" t="s">
        <v>152</v>
      </c>
    </row>
    <row r="5" customFormat="false" ht="15" hidden="false" customHeight="false" outlineLevel="0" collapsed="false">
      <c r="A5" s="5" t="s">
        <v>153</v>
      </c>
      <c r="B5" s="5" t="s">
        <v>154</v>
      </c>
      <c r="C5" s="5" t="s">
        <v>155</v>
      </c>
      <c r="D5" s="5" t="s">
        <v>156</v>
      </c>
      <c r="E5" s="5" t="s">
        <v>157</v>
      </c>
      <c r="F5" s="16" t="n">
        <v>119367.117</v>
      </c>
      <c r="G5" s="16" t="n">
        <v>119367.117</v>
      </c>
      <c r="H5" s="17" t="n">
        <f aca="false">F5-G5</f>
        <v>0</v>
      </c>
      <c r="I5" s="18" t="str">
        <f aca="false">IF(E5="MUS",H5/F5,"")</f>
        <v/>
      </c>
    </row>
    <row r="6" customFormat="false" ht="15" hidden="false" customHeight="false" outlineLevel="0" collapsed="false">
      <c r="A6" s="5" t="s">
        <v>158</v>
      </c>
      <c r="B6" s="5" t="s">
        <v>154</v>
      </c>
      <c r="C6" s="5" t="s">
        <v>155</v>
      </c>
      <c r="D6" s="5" t="s">
        <v>159</v>
      </c>
      <c r="E6" s="5" t="s">
        <v>160</v>
      </c>
      <c r="F6" s="16" t="n">
        <v>11034.726</v>
      </c>
      <c r="G6" s="16" t="n">
        <v>11034.726</v>
      </c>
      <c r="H6" s="17" t="n">
        <f aca="false">F6-G6</f>
        <v>0</v>
      </c>
      <c r="I6" s="18" t="n">
        <f aca="false">IF(E6="MUS",H6/F6,"")</f>
        <v>0</v>
      </c>
    </row>
    <row r="7" customFormat="false" ht="15" hidden="false" customHeight="false" outlineLevel="0" collapsed="false">
      <c r="A7" s="5" t="s">
        <v>161</v>
      </c>
      <c r="B7" s="5" t="s">
        <v>154</v>
      </c>
      <c r="C7" s="5" t="s">
        <v>155</v>
      </c>
      <c r="D7" s="5" t="s">
        <v>162</v>
      </c>
      <c r="E7" s="5" t="s">
        <v>160</v>
      </c>
      <c r="F7" s="16" t="n">
        <v>8420.907</v>
      </c>
      <c r="G7" s="16" t="n">
        <v>8420.907</v>
      </c>
      <c r="H7" s="17" t="n">
        <f aca="false">F7-G7</f>
        <v>0</v>
      </c>
      <c r="I7" s="18" t="n">
        <f aca="false">IF(E7="MUS",H7/F7,"")</f>
        <v>0</v>
      </c>
    </row>
    <row r="8" customFormat="false" ht="15" hidden="false" customHeight="false" outlineLevel="0" collapsed="false">
      <c r="A8" s="5" t="s">
        <v>163</v>
      </c>
      <c r="B8" s="5" t="s">
        <v>154</v>
      </c>
      <c r="C8" s="5" t="s">
        <v>155</v>
      </c>
      <c r="D8" s="5" t="s">
        <v>164</v>
      </c>
      <c r="E8" s="5" t="s">
        <v>160</v>
      </c>
      <c r="F8" s="16" t="n">
        <v>12549.861</v>
      </c>
      <c r="G8" s="16" t="n">
        <v>12549.861</v>
      </c>
      <c r="H8" s="17" t="n">
        <f aca="false">F8-G8</f>
        <v>0</v>
      </c>
      <c r="I8" s="18" t="n">
        <f aca="false">IF(E8="MUS",H8/F8,"")</f>
        <v>0</v>
      </c>
    </row>
    <row r="9" customFormat="false" ht="15" hidden="false" customHeight="false" outlineLevel="0" collapsed="false">
      <c r="A9" s="5" t="s">
        <v>165</v>
      </c>
      <c r="B9" s="5" t="s">
        <v>154</v>
      </c>
      <c r="C9" s="5" t="s">
        <v>166</v>
      </c>
      <c r="D9" s="5" t="s">
        <v>167</v>
      </c>
      <c r="E9" s="5" t="s">
        <v>160</v>
      </c>
      <c r="F9" s="16" t="n">
        <v>171.061</v>
      </c>
      <c r="G9" s="16" t="n">
        <v>171.061</v>
      </c>
      <c r="H9" s="17" t="n">
        <f aca="false">F9-G9</f>
        <v>0</v>
      </c>
      <c r="I9" s="18" t="n">
        <f aca="false">IF(E9="MUS",H9/F9,"")</f>
        <v>0</v>
      </c>
    </row>
    <row r="10" customFormat="false" ht="15" hidden="false" customHeight="false" outlineLevel="0" collapsed="false">
      <c r="A10" s="5" t="s">
        <v>168</v>
      </c>
      <c r="B10" s="5" t="s">
        <v>154</v>
      </c>
      <c r="C10" s="5" t="s">
        <v>155</v>
      </c>
      <c r="D10" s="5" t="s">
        <v>169</v>
      </c>
      <c r="E10" s="5" t="s">
        <v>160</v>
      </c>
      <c r="F10" s="16" t="n">
        <v>16144.003</v>
      </c>
      <c r="G10" s="16" t="n">
        <v>16144.003</v>
      </c>
      <c r="H10" s="17" t="n">
        <f aca="false">F10-G10</f>
        <v>0</v>
      </c>
      <c r="I10" s="18" t="n">
        <f aca="false">IF(E10="MUS",H10/F10,"")</f>
        <v>0</v>
      </c>
    </row>
    <row r="11" customFormat="false" ht="15" hidden="false" customHeight="false" outlineLevel="0" collapsed="false">
      <c r="A11" s="5" t="s">
        <v>170</v>
      </c>
      <c r="B11" s="5" t="s">
        <v>154</v>
      </c>
      <c r="C11" s="5" t="s">
        <v>171</v>
      </c>
      <c r="D11" s="5" t="s">
        <v>172</v>
      </c>
      <c r="E11" s="5" t="s">
        <v>160</v>
      </c>
      <c r="F11" s="16" t="n">
        <v>4523.6</v>
      </c>
      <c r="G11" s="16" t="n">
        <v>4523.6</v>
      </c>
      <c r="H11" s="17" t="n">
        <f aca="false">F11-G11</f>
        <v>0</v>
      </c>
      <c r="I11" s="18" t="n">
        <f aca="false">IF(E11="MUS",H11/F11,"")</f>
        <v>0</v>
      </c>
    </row>
    <row r="12" customFormat="false" ht="15" hidden="false" customHeight="false" outlineLevel="0" collapsed="false">
      <c r="A12" s="5" t="s">
        <v>173</v>
      </c>
      <c r="B12" s="5" t="s">
        <v>154</v>
      </c>
      <c r="C12" s="5" t="s">
        <v>174</v>
      </c>
      <c r="D12" s="5" t="s">
        <v>175</v>
      </c>
      <c r="E12" s="5" t="s">
        <v>160</v>
      </c>
      <c r="F12" s="16" t="n">
        <v>7.436</v>
      </c>
      <c r="G12" s="16" t="n">
        <v>7.436</v>
      </c>
      <c r="H12" s="17" t="n">
        <f aca="false">F12-G12</f>
        <v>0</v>
      </c>
      <c r="I12" s="18" t="n">
        <f aca="false">IF(E12="MUS",H12/F12,"")</f>
        <v>0</v>
      </c>
    </row>
    <row r="13" customFormat="false" ht="15" hidden="false" customHeight="false" outlineLevel="0" collapsed="false">
      <c r="A13" s="5" t="s">
        <v>176</v>
      </c>
      <c r="B13" s="5" t="s">
        <v>154</v>
      </c>
      <c r="C13" s="5" t="s">
        <v>177</v>
      </c>
      <c r="D13" s="5" t="s">
        <v>178</v>
      </c>
      <c r="E13" s="5" t="s">
        <v>160</v>
      </c>
      <c r="F13" s="16" t="n">
        <v>668.572</v>
      </c>
      <c r="G13" s="16" t="n">
        <v>668.572</v>
      </c>
      <c r="H13" s="17" t="n">
        <f aca="false">F13-G13</f>
        <v>0</v>
      </c>
      <c r="I13" s="18" t="n">
        <f aca="false">IF(E13="MUS",H13/F13,"")</f>
        <v>0</v>
      </c>
    </row>
    <row r="14" customFormat="false" ht="15" hidden="false" customHeight="false" outlineLevel="0" collapsed="false">
      <c r="A14" s="5" t="s">
        <v>179</v>
      </c>
      <c r="B14" s="5" t="s">
        <v>154</v>
      </c>
      <c r="C14" s="5" t="s">
        <v>155</v>
      </c>
      <c r="D14" s="5" t="s">
        <v>180</v>
      </c>
      <c r="E14" s="5" t="s">
        <v>160</v>
      </c>
      <c r="F14" s="16" t="n">
        <v>8585.872</v>
      </c>
      <c r="G14" s="16" t="n">
        <v>8585.872</v>
      </c>
      <c r="H14" s="17" t="n">
        <f aca="false">F14-G14</f>
        <v>0</v>
      </c>
      <c r="I14" s="18" t="n">
        <f aca="false">IF(E14="MUS",H14/F14,"")</f>
        <v>0</v>
      </c>
    </row>
    <row r="15" customFormat="false" ht="15" hidden="false" customHeight="false" outlineLevel="0" collapsed="false">
      <c r="A15" s="5" t="s">
        <v>181</v>
      </c>
      <c r="B15" s="5" t="s">
        <v>154</v>
      </c>
      <c r="C15" s="5" t="s">
        <v>166</v>
      </c>
      <c r="D15" s="5" t="s">
        <v>182</v>
      </c>
      <c r="E15" s="5" t="s">
        <v>160</v>
      </c>
      <c r="F15" s="16" t="n">
        <v>2511.867</v>
      </c>
      <c r="G15" s="16" t="n">
        <v>2511.867</v>
      </c>
      <c r="H15" s="17" t="n">
        <f aca="false">F15-G15</f>
        <v>0</v>
      </c>
      <c r="I15" s="18" t="n">
        <f aca="false">IF(E15="MUS",H15/F15,"")</f>
        <v>0</v>
      </c>
    </row>
    <row r="16" customFormat="false" ht="15" hidden="false" customHeight="false" outlineLevel="0" collapsed="false">
      <c r="A16" s="5" t="s">
        <v>183</v>
      </c>
      <c r="B16" s="5" t="s">
        <v>154</v>
      </c>
      <c r="C16" s="5" t="s">
        <v>166</v>
      </c>
      <c r="D16" s="5" t="s">
        <v>184</v>
      </c>
      <c r="E16" s="5" t="s">
        <v>160</v>
      </c>
      <c r="F16" s="16" t="n">
        <v>6633.783</v>
      </c>
      <c r="G16" s="16" t="n">
        <v>6633.783</v>
      </c>
      <c r="H16" s="17" t="n">
        <f aca="false">F16-G16</f>
        <v>0</v>
      </c>
      <c r="I16" s="18" t="n">
        <f aca="false">IF(E16="MUS",H16/F16,"")</f>
        <v>0</v>
      </c>
    </row>
    <row r="17" customFormat="false" ht="15" hidden="false" customHeight="false" outlineLevel="0" collapsed="false">
      <c r="A17" s="5" t="s">
        <v>185</v>
      </c>
      <c r="B17" s="5" t="s">
        <v>154</v>
      </c>
      <c r="C17" s="5" t="s">
        <v>155</v>
      </c>
      <c r="D17" s="5" t="s">
        <v>186</v>
      </c>
      <c r="E17" s="5" t="s">
        <v>160</v>
      </c>
      <c r="F17" s="16" t="n">
        <v>4808.044</v>
      </c>
      <c r="G17" s="16" t="n">
        <v>4808.044</v>
      </c>
      <c r="H17" s="17" t="n">
        <f aca="false">F17-G17</f>
        <v>0</v>
      </c>
      <c r="I17" s="18" t="n">
        <f aca="false">IF(E17="MUS",H17/F17,"")</f>
        <v>0</v>
      </c>
    </row>
    <row r="18" customFormat="false" ht="15" hidden="false" customHeight="false" outlineLevel="0" collapsed="false">
      <c r="A18" s="5" t="s">
        <v>187</v>
      </c>
      <c r="B18" s="5" t="s">
        <v>154</v>
      </c>
      <c r="C18" s="5" t="s">
        <v>166</v>
      </c>
      <c r="D18" s="5" t="s">
        <v>188</v>
      </c>
      <c r="E18" s="5" t="s">
        <v>160</v>
      </c>
      <c r="F18" s="16" t="n">
        <v>1408.959</v>
      </c>
      <c r="G18" s="16" t="n">
        <v>1408.959</v>
      </c>
      <c r="H18" s="17" t="n">
        <f aca="false">F18-G18</f>
        <v>0</v>
      </c>
      <c r="I18" s="18" t="n">
        <f aca="false">IF(E18="MUS",H18/F18,"")</f>
        <v>0</v>
      </c>
    </row>
    <row r="19" customFormat="false" ht="15" hidden="false" customHeight="false" outlineLevel="0" collapsed="false">
      <c r="A19" s="5" t="s">
        <v>189</v>
      </c>
      <c r="B19" s="5" t="s">
        <v>154</v>
      </c>
      <c r="C19" s="5" t="s">
        <v>190</v>
      </c>
      <c r="D19" s="5" t="s">
        <v>191</v>
      </c>
      <c r="E19" s="5" t="s">
        <v>160</v>
      </c>
      <c r="F19" s="16" t="n">
        <v>29.509</v>
      </c>
      <c r="G19" s="16" t="n">
        <v>29.509</v>
      </c>
      <c r="H19" s="17" t="n">
        <f aca="false">F19-G19</f>
        <v>0</v>
      </c>
      <c r="I19" s="18" t="n">
        <f aca="false">IF(E19="MUS",H19/F19,"")</f>
        <v>0</v>
      </c>
    </row>
    <row r="20" customFormat="false" ht="15" hidden="false" customHeight="false" outlineLevel="0" collapsed="false">
      <c r="A20" s="5" t="s">
        <v>192</v>
      </c>
      <c r="B20" s="5" t="s">
        <v>154</v>
      </c>
      <c r="C20" s="5" t="s">
        <v>166</v>
      </c>
      <c r="D20" s="5" t="s">
        <v>193</v>
      </c>
      <c r="E20" s="5" t="s">
        <v>160</v>
      </c>
      <c r="F20" s="16" t="n">
        <v>1137.988</v>
      </c>
      <c r="G20" s="16" t="n">
        <v>1137.988</v>
      </c>
      <c r="H20" s="17" t="n">
        <f aca="false">F20-G20</f>
        <v>0</v>
      </c>
      <c r="I20" s="18" t="n">
        <f aca="false">IF(E20="MUS",H20/F20,"")</f>
        <v>0</v>
      </c>
    </row>
    <row r="21" customFormat="false" ht="15" hidden="false" customHeight="false" outlineLevel="0" collapsed="false">
      <c r="A21" s="5" t="s">
        <v>194</v>
      </c>
      <c r="B21" s="5" t="s">
        <v>154</v>
      </c>
      <c r="C21" s="5" t="s">
        <v>171</v>
      </c>
      <c r="D21" s="5" t="s">
        <v>195</v>
      </c>
      <c r="E21" s="5" t="s">
        <v>160</v>
      </c>
      <c r="F21" s="16" t="n">
        <v>1493.13</v>
      </c>
      <c r="G21" s="16" t="n">
        <v>1493.13</v>
      </c>
      <c r="H21" s="17" t="n">
        <f aca="false">F21-G21</f>
        <v>0</v>
      </c>
      <c r="I21" s="18" t="n">
        <f aca="false">IF(E21="MUS",H21/F21,"")</f>
        <v>0</v>
      </c>
    </row>
    <row r="22" customFormat="false" ht="15" hidden="false" customHeight="false" outlineLevel="0" collapsed="false">
      <c r="A22" s="5" t="s">
        <v>196</v>
      </c>
      <c r="B22" s="5" t="s">
        <v>154</v>
      </c>
      <c r="C22" s="5" t="s">
        <v>171</v>
      </c>
      <c r="D22" s="5" t="s">
        <v>197</v>
      </c>
      <c r="E22" s="5" t="s">
        <v>160</v>
      </c>
      <c r="F22" s="16" t="n">
        <v>9103.939</v>
      </c>
      <c r="G22" s="16" t="n">
        <v>9103.939</v>
      </c>
      <c r="H22" s="17" t="n">
        <f aca="false">F22-G22</f>
        <v>0</v>
      </c>
      <c r="I22" s="18" t="n">
        <f aca="false">IF(E22="MUS",H22/F22,"")</f>
        <v>0</v>
      </c>
    </row>
    <row r="23" customFormat="false" ht="15" hidden="false" customHeight="false" outlineLevel="0" collapsed="false">
      <c r="A23" s="5" t="s">
        <v>198</v>
      </c>
      <c r="B23" s="5" t="s">
        <v>154</v>
      </c>
      <c r="C23" s="5" t="s">
        <v>166</v>
      </c>
      <c r="D23" s="5" t="s">
        <v>199</v>
      </c>
      <c r="E23" s="5" t="s">
        <v>160</v>
      </c>
      <c r="F23" s="16" t="n">
        <v>298.364</v>
      </c>
      <c r="G23" s="16" t="n">
        <v>298.364</v>
      </c>
      <c r="H23" s="17" t="n">
        <f aca="false">F23-G23</f>
        <v>0</v>
      </c>
      <c r="I23" s="18" t="n">
        <f aca="false">IF(E23="MUS",H23/F23,"")</f>
        <v>0</v>
      </c>
    </row>
    <row r="24" customFormat="false" ht="15" hidden="false" customHeight="false" outlineLevel="0" collapsed="false">
      <c r="A24" s="5" t="s">
        <v>200</v>
      </c>
      <c r="B24" s="5" t="s">
        <v>154</v>
      </c>
      <c r="C24" s="5" t="s">
        <v>166</v>
      </c>
      <c r="D24" s="5" t="s">
        <v>201</v>
      </c>
      <c r="E24" s="5" t="s">
        <v>160</v>
      </c>
      <c r="F24" s="16" t="n">
        <v>2631.998</v>
      </c>
      <c r="G24" s="16" t="n">
        <v>2631.998</v>
      </c>
      <c r="H24" s="17" t="n">
        <f aca="false">F24-G24</f>
        <v>0</v>
      </c>
      <c r="I24" s="18" t="n">
        <f aca="false">IF(E24="MUS",H24/F24,"")</f>
        <v>0</v>
      </c>
    </row>
    <row r="25" customFormat="false" ht="15" hidden="false" customHeight="false" outlineLevel="0" collapsed="false">
      <c r="A25" s="5" t="s">
        <v>202</v>
      </c>
      <c r="B25" s="5" t="s">
        <v>154</v>
      </c>
      <c r="C25" s="5" t="s">
        <v>190</v>
      </c>
      <c r="D25" s="5" t="s">
        <v>203</v>
      </c>
      <c r="E25" s="5" t="s">
        <v>160</v>
      </c>
      <c r="F25" s="16" t="n">
        <v>59.48</v>
      </c>
      <c r="G25" s="16" t="n">
        <v>59.48</v>
      </c>
      <c r="H25" s="17" t="n">
        <f aca="false">F25-G25</f>
        <v>0</v>
      </c>
      <c r="I25" s="18" t="n">
        <f aca="false">IF(E25="MUS",H25/F25,"")</f>
        <v>0</v>
      </c>
    </row>
    <row r="26" customFormat="false" ht="15" hidden="false" customHeight="false" outlineLevel="0" collapsed="false">
      <c r="A26" s="5" t="s">
        <v>204</v>
      </c>
      <c r="B26" s="5" t="s">
        <v>154</v>
      </c>
      <c r="C26" s="5" t="s">
        <v>174</v>
      </c>
      <c r="D26" s="5" t="s">
        <v>205</v>
      </c>
      <c r="E26" s="5" t="s">
        <v>160</v>
      </c>
      <c r="F26" s="16" t="n">
        <v>638.547</v>
      </c>
      <c r="G26" s="16" t="n">
        <v>638.547</v>
      </c>
      <c r="H26" s="17" t="n">
        <f aca="false">F26-G26</f>
        <v>0</v>
      </c>
      <c r="I26" s="18" t="n">
        <f aca="false">IF(E26="MUS",H26/F26,"")</f>
        <v>0</v>
      </c>
    </row>
    <row r="27" customFormat="false" ht="15" hidden="false" customHeight="false" outlineLevel="0" collapsed="false">
      <c r="A27" s="5" t="s">
        <v>206</v>
      </c>
      <c r="B27" s="5" t="s">
        <v>154</v>
      </c>
      <c r="C27" s="5" t="s">
        <v>166</v>
      </c>
      <c r="D27" s="5" t="s">
        <v>207</v>
      </c>
      <c r="E27" s="5" t="s">
        <v>160</v>
      </c>
      <c r="F27" s="16" t="n">
        <v>6728.135</v>
      </c>
      <c r="G27" s="16" t="n">
        <v>6728.135</v>
      </c>
      <c r="H27" s="17" t="n">
        <f aca="false">F27-G27</f>
        <v>0</v>
      </c>
      <c r="I27" s="18" t="n">
        <f aca="false">IF(E27="MUS",H27/F27,"")</f>
        <v>0</v>
      </c>
    </row>
    <row r="28" customFormat="false" ht="15" hidden="false" customHeight="false" outlineLevel="0" collapsed="false">
      <c r="A28" s="5" t="s">
        <v>208</v>
      </c>
      <c r="B28" s="5" t="s">
        <v>154</v>
      </c>
      <c r="C28" s="5" t="s">
        <v>171</v>
      </c>
      <c r="D28" s="5" t="s">
        <v>209</v>
      </c>
      <c r="E28" s="5" t="s">
        <v>160</v>
      </c>
      <c r="F28" s="16" t="n">
        <v>1521.485</v>
      </c>
      <c r="G28" s="16" t="n">
        <v>1521.485</v>
      </c>
      <c r="H28" s="17" t="n">
        <f aca="false">F28-G28</f>
        <v>0</v>
      </c>
      <c r="I28" s="18" t="n">
        <f aca="false">IF(E28="MUS",H28/F28,"")</f>
        <v>0</v>
      </c>
    </row>
    <row r="29" customFormat="false" ht="15" hidden="false" customHeight="false" outlineLevel="0" collapsed="false">
      <c r="A29" s="5" t="s">
        <v>210</v>
      </c>
      <c r="B29" s="5" t="s">
        <v>211</v>
      </c>
      <c r="C29" s="5" t="s">
        <v>212</v>
      </c>
      <c r="D29" s="5" t="s">
        <v>213</v>
      </c>
      <c r="E29" s="5" t="s">
        <v>160</v>
      </c>
      <c r="F29" s="16" t="n">
        <v>612.137</v>
      </c>
      <c r="G29" s="16" t="n">
        <v>612.137</v>
      </c>
      <c r="H29" s="17" t="n">
        <f aca="false">F29-G29</f>
        <v>0</v>
      </c>
      <c r="I29" s="18" t="n">
        <f aca="false">IF(E29="MUS",H29/F29,"")</f>
        <v>0</v>
      </c>
    </row>
    <row r="30" customFormat="false" ht="15" hidden="false" customHeight="false" outlineLevel="0" collapsed="false">
      <c r="A30" s="5" t="s">
        <v>214</v>
      </c>
      <c r="B30" s="5" t="s">
        <v>154</v>
      </c>
      <c r="C30" s="5" t="s">
        <v>171</v>
      </c>
      <c r="D30" s="5" t="s">
        <v>215</v>
      </c>
      <c r="E30" s="5" t="s">
        <v>160</v>
      </c>
      <c r="F30" s="16" t="n">
        <v>1771.706</v>
      </c>
      <c r="G30" s="16" t="n">
        <v>1771.706</v>
      </c>
      <c r="H30" s="17" t="n">
        <f aca="false">F30-G30</f>
        <v>0</v>
      </c>
      <c r="I30" s="18" t="n">
        <f aca="false">IF(E30="MUS",H30/F30,"")</f>
        <v>0</v>
      </c>
    </row>
    <row r="31" customFormat="false" ht="15" hidden="false" customHeight="false" outlineLevel="0" collapsed="false">
      <c r="A31" s="5" t="s">
        <v>216</v>
      </c>
      <c r="B31" s="5" t="s">
        <v>154</v>
      </c>
      <c r="C31" s="5" t="s">
        <v>171</v>
      </c>
      <c r="D31" s="5" t="s">
        <v>217</v>
      </c>
      <c r="E31" s="5" t="s">
        <v>160</v>
      </c>
      <c r="F31" s="16" t="n">
        <v>2198.11</v>
      </c>
      <c r="G31" s="16" t="n">
        <v>2198.11</v>
      </c>
      <c r="H31" s="17" t="n">
        <f aca="false">F31-G31</f>
        <v>0</v>
      </c>
      <c r="I31" s="18" t="n">
        <f aca="false">IF(E31="MUS",H31/F31,"")</f>
        <v>0</v>
      </c>
    </row>
    <row r="32" customFormat="false" ht="15" hidden="false" customHeight="false" outlineLevel="0" collapsed="false">
      <c r="A32" s="5" t="s">
        <v>218</v>
      </c>
      <c r="B32" s="5" t="s">
        <v>154</v>
      </c>
      <c r="C32" s="5" t="s">
        <v>190</v>
      </c>
      <c r="D32" s="5" t="s">
        <v>219</v>
      </c>
      <c r="E32" s="5" t="s">
        <v>160</v>
      </c>
      <c r="F32" s="16" t="n">
        <v>78.37</v>
      </c>
      <c r="G32" s="16" t="n">
        <v>78.37</v>
      </c>
      <c r="H32" s="17" t="n">
        <f aca="false">F32-G32</f>
        <v>0</v>
      </c>
      <c r="I32" s="18" t="n">
        <f aca="false">IF(E32="MUS",H32/F32,"")</f>
        <v>0</v>
      </c>
    </row>
    <row r="33" customFormat="false" ht="15" hidden="false" customHeight="false" outlineLevel="0" collapsed="false">
      <c r="A33" s="5" t="s">
        <v>220</v>
      </c>
      <c r="B33" s="5" t="s">
        <v>211</v>
      </c>
      <c r="C33" s="5" t="s">
        <v>212</v>
      </c>
      <c r="D33" s="5" t="s">
        <v>213</v>
      </c>
      <c r="E33" s="5" t="s">
        <v>160</v>
      </c>
      <c r="F33" s="16" t="n">
        <v>189.05</v>
      </c>
      <c r="G33" s="16" t="n">
        <v>189.05</v>
      </c>
      <c r="H33" s="17" t="n">
        <f aca="false">F33-G33</f>
        <v>0</v>
      </c>
      <c r="I33" s="18" t="n">
        <f aca="false">IF(E33="MUS",H33/F33,"")</f>
        <v>0</v>
      </c>
    </row>
    <row r="34" customFormat="false" ht="15" hidden="false" customHeight="false" outlineLevel="0" collapsed="false">
      <c r="A34" s="5" t="s">
        <v>221</v>
      </c>
      <c r="B34" s="5" t="s">
        <v>154</v>
      </c>
      <c r="C34" s="5" t="s">
        <v>166</v>
      </c>
      <c r="D34" s="5" t="s">
        <v>222</v>
      </c>
      <c r="E34" s="5" t="s">
        <v>160</v>
      </c>
      <c r="F34" s="16" t="n">
        <v>892.314</v>
      </c>
      <c r="G34" s="16" t="n">
        <v>892.314</v>
      </c>
      <c r="H34" s="17" t="n">
        <f aca="false">F34-G34</f>
        <v>0</v>
      </c>
      <c r="I34" s="18" t="n">
        <f aca="false">IF(E34="MUS",H34/F34,"")</f>
        <v>0</v>
      </c>
    </row>
    <row r="35" customFormat="false" ht="15" hidden="false" customHeight="false" outlineLevel="0" collapsed="false">
      <c r="A35" s="5" t="s">
        <v>223</v>
      </c>
      <c r="B35" s="5" t="s">
        <v>154</v>
      </c>
      <c r="C35" s="5" t="s">
        <v>190</v>
      </c>
      <c r="D35" s="5" t="s">
        <v>224</v>
      </c>
      <c r="E35" s="5" t="s">
        <v>160</v>
      </c>
      <c r="F35" s="16" t="n">
        <v>683.652</v>
      </c>
      <c r="G35" s="16" t="n">
        <v>683.652</v>
      </c>
      <c r="H35" s="17" t="n">
        <f aca="false">F35-G35</f>
        <v>0</v>
      </c>
      <c r="I35" s="18" t="n">
        <f aca="false">IF(E35="MUS",H35/F35,"")</f>
        <v>0</v>
      </c>
    </row>
    <row r="36" customFormat="false" ht="15" hidden="false" customHeight="false" outlineLevel="0" collapsed="false">
      <c r="A36" s="5" t="s">
        <v>225</v>
      </c>
      <c r="B36" s="5" t="s">
        <v>154</v>
      </c>
      <c r="C36" s="5" t="s">
        <v>226</v>
      </c>
      <c r="D36" s="5" t="s">
        <v>227</v>
      </c>
      <c r="E36" s="5" t="s">
        <v>160</v>
      </c>
      <c r="F36" s="16" t="n">
        <v>52379.614</v>
      </c>
      <c r="G36" s="16" t="n">
        <v>52379.614</v>
      </c>
      <c r="H36" s="17" t="n">
        <f aca="false">F36-G36</f>
        <v>0</v>
      </c>
      <c r="I36" s="18" t="n">
        <f aca="false">IF(E36="MUS",H36/F36,"")</f>
        <v>0</v>
      </c>
    </row>
    <row r="37" customFormat="false" ht="15" hidden="false" customHeight="false" outlineLevel="0" collapsed="false">
      <c r="A37" s="5" t="s">
        <v>228</v>
      </c>
      <c r="B37" s="5" t="s">
        <v>211</v>
      </c>
      <c r="C37" s="5" t="s">
        <v>212</v>
      </c>
      <c r="D37" s="5" t="s">
        <v>213</v>
      </c>
      <c r="E37" s="5" t="s">
        <v>160</v>
      </c>
      <c r="F37" s="16" t="n">
        <v>72.638</v>
      </c>
      <c r="G37" s="16" t="n">
        <v>72.638</v>
      </c>
      <c r="H37" s="17" t="n">
        <f aca="false">F37-G37</f>
        <v>0</v>
      </c>
      <c r="I37" s="18" t="n">
        <f aca="false">IF(E37="MUS",H37/F37,"")</f>
        <v>0</v>
      </c>
    </row>
    <row r="38" customFormat="false" ht="15" hidden="false" customHeight="false" outlineLevel="0" collapsed="false">
      <c r="A38" s="5" t="s">
        <v>229</v>
      </c>
      <c r="B38" s="5" t="s">
        <v>154</v>
      </c>
      <c r="C38" s="5" t="s">
        <v>155</v>
      </c>
      <c r="D38" s="5" t="s">
        <v>230</v>
      </c>
      <c r="E38" s="5" t="s">
        <v>160</v>
      </c>
      <c r="F38" s="16" t="n">
        <v>17165.344</v>
      </c>
      <c r="G38" s="16" t="n">
        <v>17165.344</v>
      </c>
      <c r="H38" s="17" t="n">
        <f aca="false">F38-G38</f>
        <v>0</v>
      </c>
      <c r="I38" s="18" t="n">
        <f aca="false">IF(E38="MUS",H38/F38,"")</f>
        <v>0</v>
      </c>
    </row>
    <row r="39" customFormat="false" ht="15" hidden="false" customHeight="false" outlineLevel="0" collapsed="false">
      <c r="A39" s="5" t="s">
        <v>231</v>
      </c>
      <c r="B39" s="5" t="s">
        <v>154</v>
      </c>
      <c r="C39" s="5" t="s">
        <v>171</v>
      </c>
      <c r="D39" s="5" t="s">
        <v>232</v>
      </c>
      <c r="E39" s="5" t="s">
        <v>160</v>
      </c>
      <c r="F39" s="16" t="n">
        <v>263.306</v>
      </c>
      <c r="G39" s="16" t="n">
        <v>263.306</v>
      </c>
      <c r="H39" s="17" t="n">
        <f aca="false">F39-G39</f>
        <v>0</v>
      </c>
      <c r="I39" s="18" t="n">
        <f aca="false">IF(E39="MUS",H39/F39,"")</f>
        <v>0</v>
      </c>
    </row>
    <row r="40" customFormat="false" ht="15" hidden="false" customHeight="false" outlineLevel="0" collapsed="false">
      <c r="A40" s="5" t="s">
        <v>233</v>
      </c>
      <c r="B40" s="5" t="s">
        <v>154</v>
      </c>
      <c r="C40" s="5" t="s">
        <v>171</v>
      </c>
      <c r="D40" s="5" t="s">
        <v>234</v>
      </c>
      <c r="E40" s="5" t="s">
        <v>160</v>
      </c>
      <c r="F40" s="16" t="n">
        <v>5523.862</v>
      </c>
      <c r="G40" s="16" t="n">
        <v>5523.862</v>
      </c>
      <c r="H40" s="17" t="n">
        <f aca="false">F40-G40</f>
        <v>0</v>
      </c>
      <c r="I40" s="18" t="n">
        <f aca="false">IF(E40="MUS",H40/F40,"")</f>
        <v>0</v>
      </c>
    </row>
    <row r="41" customFormat="false" ht="15" hidden="false" customHeight="false" outlineLevel="0" collapsed="false">
      <c r="A41" s="5" t="s">
        <v>235</v>
      </c>
      <c r="B41" s="5" t="s">
        <v>154</v>
      </c>
      <c r="C41" s="5" t="s">
        <v>190</v>
      </c>
      <c r="D41" s="5" t="s">
        <v>236</v>
      </c>
      <c r="E41" s="5" t="s">
        <v>160</v>
      </c>
      <c r="F41" s="16" t="n">
        <v>297.01</v>
      </c>
      <c r="G41" s="16" t="n">
        <v>297.01</v>
      </c>
      <c r="H41" s="17" t="n">
        <f aca="false">F41-G41</f>
        <v>0</v>
      </c>
      <c r="I41" s="18" t="n">
        <f aca="false">IF(E41="MUS",H41/F41,"")</f>
        <v>0</v>
      </c>
    </row>
    <row r="42" customFormat="false" ht="15" hidden="false" customHeight="false" outlineLevel="0" collapsed="false">
      <c r="A42" s="5" t="s">
        <v>237</v>
      </c>
      <c r="B42" s="5" t="s">
        <v>154</v>
      </c>
      <c r="C42" s="5" t="s">
        <v>171</v>
      </c>
      <c r="D42" s="5" t="s">
        <v>238</v>
      </c>
      <c r="E42" s="5" t="s">
        <v>160</v>
      </c>
      <c r="F42" s="16" t="n">
        <v>7996.297</v>
      </c>
      <c r="G42" s="16" t="n">
        <v>7996.297</v>
      </c>
      <c r="H42" s="17" t="n">
        <f aca="false">F42-G42</f>
        <v>0</v>
      </c>
      <c r="I42" s="18" t="n">
        <f aca="false">IF(E42="MUS",H42/F42,"")</f>
        <v>0</v>
      </c>
    </row>
    <row r="43" customFormat="false" ht="15" hidden="false" customHeight="false" outlineLevel="0" collapsed="false">
      <c r="A43" s="5" t="s">
        <v>239</v>
      </c>
      <c r="B43" s="5" t="s">
        <v>154</v>
      </c>
      <c r="C43" s="5" t="s">
        <v>155</v>
      </c>
      <c r="D43" s="5" t="s">
        <v>195</v>
      </c>
      <c r="E43" s="5" t="s">
        <v>160</v>
      </c>
      <c r="F43" s="16" t="n">
        <v>35358.853</v>
      </c>
      <c r="G43" s="16" t="n">
        <v>35358.853</v>
      </c>
      <c r="H43" s="17" t="n">
        <f aca="false">F43-G43</f>
        <v>0</v>
      </c>
      <c r="I43" s="18" t="n">
        <f aca="false">IF(E43="MUS",H43/F43,"")</f>
        <v>0</v>
      </c>
    </row>
    <row r="44" customFormat="false" ht="15" hidden="false" customHeight="false" outlineLevel="0" collapsed="false">
      <c r="A44" s="5" t="s">
        <v>240</v>
      </c>
      <c r="B44" s="5" t="s">
        <v>154</v>
      </c>
      <c r="C44" s="5" t="s">
        <v>166</v>
      </c>
      <c r="D44" s="5" t="s">
        <v>241</v>
      </c>
      <c r="E44" s="5" t="s">
        <v>160</v>
      </c>
      <c r="F44" s="16" t="n">
        <v>1221.977</v>
      </c>
      <c r="G44" s="16" t="n">
        <v>1221.977</v>
      </c>
      <c r="H44" s="17" t="n">
        <f aca="false">F44-G44</f>
        <v>0</v>
      </c>
      <c r="I44" s="18" t="n">
        <f aca="false">IF(E44="MUS",H44/F44,"")</f>
        <v>0</v>
      </c>
    </row>
    <row r="45" customFormat="false" ht="15" hidden="false" customHeight="false" outlineLevel="0" collapsed="false">
      <c r="A45" s="5" t="s">
        <v>242</v>
      </c>
      <c r="B45" s="5" t="s">
        <v>154</v>
      </c>
      <c r="C45" s="5" t="s">
        <v>190</v>
      </c>
      <c r="D45" s="5" t="s">
        <v>178</v>
      </c>
      <c r="E45" s="5" t="s">
        <v>160</v>
      </c>
      <c r="F45" s="16" t="n">
        <v>318.568</v>
      </c>
      <c r="G45" s="16" t="n">
        <v>300.75</v>
      </c>
      <c r="H45" s="17" t="n">
        <f aca="false">F45-G45</f>
        <v>17.818</v>
      </c>
      <c r="I45" s="18" t="n">
        <f aca="false">IF(E45="MUS",H45/F45,"")</f>
        <v>0.0559315436578689</v>
      </c>
    </row>
    <row r="46" customFormat="false" ht="15" hidden="false" customHeight="false" outlineLevel="0" collapsed="false">
      <c r="A46" s="5" t="s">
        <v>243</v>
      </c>
      <c r="B46" s="5" t="s">
        <v>154</v>
      </c>
      <c r="C46" s="5" t="s">
        <v>166</v>
      </c>
      <c r="D46" s="5" t="s">
        <v>244</v>
      </c>
      <c r="E46" s="5" t="s">
        <v>160</v>
      </c>
      <c r="F46" s="16" t="n">
        <v>387.188</v>
      </c>
      <c r="G46" s="16" t="n">
        <v>387.188</v>
      </c>
      <c r="H46" s="17" t="n">
        <f aca="false">F46-G46</f>
        <v>0</v>
      </c>
      <c r="I46" s="18" t="n">
        <f aca="false">IF(E46="MUS",H46/F46,"")</f>
        <v>0</v>
      </c>
    </row>
    <row r="47" customFormat="false" ht="15" hidden="false" customHeight="false" outlineLevel="0" collapsed="false">
      <c r="A47" s="5" t="s">
        <v>245</v>
      </c>
      <c r="B47" s="5" t="s">
        <v>154</v>
      </c>
      <c r="C47" s="5" t="s">
        <v>174</v>
      </c>
      <c r="D47" s="5" t="s">
        <v>246</v>
      </c>
      <c r="E47" s="5" t="s">
        <v>160</v>
      </c>
      <c r="F47" s="16" t="n">
        <v>88.386</v>
      </c>
      <c r="G47" s="16" t="n">
        <v>88.386</v>
      </c>
      <c r="H47" s="17" t="n">
        <f aca="false">F47-G47</f>
        <v>0</v>
      </c>
      <c r="I47" s="18" t="n">
        <f aca="false">IF(E47="MUS",H47/F47,"")</f>
        <v>0</v>
      </c>
    </row>
    <row r="48" customFormat="false" ht="15" hidden="false" customHeight="false" outlineLevel="0" collapsed="false">
      <c r="A48" s="5" t="s">
        <v>247</v>
      </c>
      <c r="B48" s="5" t="s">
        <v>154</v>
      </c>
      <c r="C48" s="5" t="s">
        <v>171</v>
      </c>
      <c r="D48" s="5" t="s">
        <v>248</v>
      </c>
      <c r="E48" s="5" t="s">
        <v>160</v>
      </c>
      <c r="F48" s="16" t="n">
        <v>876.47</v>
      </c>
      <c r="G48" s="16" t="n">
        <v>876.47</v>
      </c>
      <c r="H48" s="17" t="n">
        <f aca="false">F48-G48</f>
        <v>0</v>
      </c>
      <c r="I48" s="18" t="n">
        <f aca="false">IF(E48="MUS",H48/F48,"")</f>
        <v>0</v>
      </c>
    </row>
    <row r="49" customFormat="false" ht="15" hidden="false" customHeight="false" outlineLevel="0" collapsed="false">
      <c r="A49" s="5" t="s">
        <v>249</v>
      </c>
      <c r="B49" s="5" t="s">
        <v>154</v>
      </c>
      <c r="C49" s="5" t="s">
        <v>171</v>
      </c>
      <c r="D49" s="5" t="s">
        <v>250</v>
      </c>
      <c r="E49" s="5" t="s">
        <v>160</v>
      </c>
      <c r="F49" s="16" t="n">
        <v>359.254</v>
      </c>
      <c r="G49" s="16" t="n">
        <v>359.254</v>
      </c>
      <c r="H49" s="17" t="n">
        <f aca="false">F49-G49</f>
        <v>0</v>
      </c>
      <c r="I49" s="18" t="n">
        <f aca="false">IF(E49="MUS",H49/F49,"")</f>
        <v>0</v>
      </c>
    </row>
    <row r="50" customFormat="false" ht="15" hidden="false" customHeight="false" outlineLevel="0" collapsed="false">
      <c r="A50" s="5" t="s">
        <v>251</v>
      </c>
      <c r="B50" s="5" t="s">
        <v>154</v>
      </c>
      <c r="C50" s="5" t="s">
        <v>174</v>
      </c>
      <c r="D50" s="5" t="s">
        <v>252</v>
      </c>
      <c r="E50" s="5" t="s">
        <v>160</v>
      </c>
      <c r="F50" s="16" t="n">
        <v>399.159</v>
      </c>
      <c r="G50" s="16" t="n">
        <v>399.159</v>
      </c>
      <c r="H50" s="17" t="n">
        <f aca="false">F50-G50</f>
        <v>0</v>
      </c>
      <c r="I50" s="18" t="n">
        <f aca="false">IF(E50="MUS",H50/F50,"")</f>
        <v>0</v>
      </c>
    </row>
    <row r="51" customFormat="false" ht="15" hidden="false" customHeight="false" outlineLevel="0" collapsed="false">
      <c r="A51" s="5" t="s">
        <v>253</v>
      </c>
      <c r="B51" s="5" t="s">
        <v>154</v>
      </c>
      <c r="C51" s="5" t="s">
        <v>171</v>
      </c>
      <c r="D51" s="5" t="s">
        <v>254</v>
      </c>
      <c r="E51" s="5" t="s">
        <v>160</v>
      </c>
      <c r="F51" s="16" t="n">
        <v>6095.725</v>
      </c>
      <c r="G51" s="16" t="n">
        <v>6095.725</v>
      </c>
      <c r="H51" s="17" t="n">
        <f aca="false">F51-G51</f>
        <v>0</v>
      </c>
      <c r="I51" s="18" t="n">
        <f aca="false">IF(E51="MUS",H51/F51,"")</f>
        <v>0</v>
      </c>
    </row>
    <row r="52" customFormat="false" ht="15" hidden="false" customHeight="false" outlineLevel="0" collapsed="false">
      <c r="A52" s="5" t="s">
        <v>255</v>
      </c>
      <c r="B52" s="5" t="s">
        <v>154</v>
      </c>
      <c r="C52" s="5" t="s">
        <v>166</v>
      </c>
      <c r="D52" s="5" t="s">
        <v>219</v>
      </c>
      <c r="E52" s="5" t="s">
        <v>160</v>
      </c>
      <c r="F52" s="16" t="n">
        <v>401.764</v>
      </c>
      <c r="G52" s="16" t="n">
        <v>401.764</v>
      </c>
      <c r="H52" s="17" t="n">
        <f aca="false">F52-G52</f>
        <v>0</v>
      </c>
      <c r="I52" s="18" t="n">
        <f aca="false">IF(E52="MUS",H52/F52,"")</f>
        <v>0</v>
      </c>
    </row>
    <row r="53" customFormat="false" ht="15" hidden="false" customHeight="false" outlineLevel="0" collapsed="false">
      <c r="A53" s="5" t="s">
        <v>256</v>
      </c>
      <c r="B53" s="5" t="s">
        <v>154</v>
      </c>
      <c r="C53" s="5" t="s">
        <v>166</v>
      </c>
      <c r="D53" s="5" t="s">
        <v>257</v>
      </c>
      <c r="E53" s="5" t="s">
        <v>160</v>
      </c>
      <c r="F53" s="16" t="n">
        <v>826.353</v>
      </c>
      <c r="G53" s="16" t="n">
        <v>826.353</v>
      </c>
      <c r="H53" s="17" t="n">
        <f aca="false">F53-G53</f>
        <v>0</v>
      </c>
      <c r="I53" s="18" t="n">
        <f aca="false">IF(E53="MUS",H53/F53,"")</f>
        <v>0</v>
      </c>
    </row>
    <row r="54" customFormat="false" ht="15" hidden="false" customHeight="false" outlineLevel="0" collapsed="false">
      <c r="A54" s="5" t="s">
        <v>258</v>
      </c>
      <c r="B54" s="5" t="s">
        <v>154</v>
      </c>
      <c r="C54" s="5" t="s">
        <v>155</v>
      </c>
      <c r="D54" s="5" t="s">
        <v>259</v>
      </c>
      <c r="E54" s="5" t="s">
        <v>160</v>
      </c>
      <c r="F54" s="16" t="n">
        <v>5493.835</v>
      </c>
      <c r="G54" s="16" t="n">
        <v>5493.835</v>
      </c>
      <c r="H54" s="17" t="n">
        <f aca="false">F54-G54</f>
        <v>0</v>
      </c>
      <c r="I54" s="18" t="n">
        <f aca="false">IF(E54="MUS",H54/F54,"")</f>
        <v>0</v>
      </c>
    </row>
    <row r="55" customFormat="false" ht="15" hidden="false" customHeight="false" outlineLevel="0" collapsed="false">
      <c r="A55" s="5" t="s">
        <v>260</v>
      </c>
      <c r="B55" s="5" t="s">
        <v>154</v>
      </c>
      <c r="C55" s="5" t="s">
        <v>174</v>
      </c>
      <c r="D55" s="5" t="s">
        <v>261</v>
      </c>
      <c r="E55" s="5" t="s">
        <v>160</v>
      </c>
      <c r="F55" s="16" t="n">
        <v>444.184</v>
      </c>
      <c r="G55" s="16" t="n">
        <v>444.184</v>
      </c>
      <c r="H55" s="17" t="n">
        <f aca="false">F55-G55</f>
        <v>0</v>
      </c>
      <c r="I55" s="18" t="n">
        <f aca="false">IF(E55="MUS",H55/F55,"")</f>
        <v>0</v>
      </c>
    </row>
    <row r="56" customFormat="false" ht="15" hidden="false" customHeight="false" outlineLevel="0" collapsed="false">
      <c r="A56" s="5" t="s">
        <v>262</v>
      </c>
      <c r="B56" s="5" t="s">
        <v>154</v>
      </c>
      <c r="C56" s="5" t="s">
        <v>171</v>
      </c>
      <c r="D56" s="5" t="s">
        <v>263</v>
      </c>
      <c r="E56" s="5" t="s">
        <v>160</v>
      </c>
      <c r="F56" s="16" t="n">
        <v>2030.848</v>
      </c>
      <c r="G56" s="16" t="n">
        <v>2030.848</v>
      </c>
      <c r="H56" s="17" t="n">
        <f aca="false">F56-G56</f>
        <v>0</v>
      </c>
      <c r="I56" s="18" t="n">
        <f aca="false">IF(E56="MUS",H56/F56,"")</f>
        <v>0</v>
      </c>
    </row>
    <row r="57" customFormat="false" ht="15" hidden="false" customHeight="false" outlineLevel="0" collapsed="false">
      <c r="A57" s="5" t="s">
        <v>264</v>
      </c>
      <c r="B57" s="5" t="s">
        <v>154</v>
      </c>
      <c r="C57" s="5" t="s">
        <v>155</v>
      </c>
      <c r="D57" s="5" t="s">
        <v>265</v>
      </c>
      <c r="E57" s="5" t="s">
        <v>160</v>
      </c>
      <c r="F57" s="16" t="n">
        <v>2368.884</v>
      </c>
      <c r="G57" s="16" t="n">
        <v>2368.884</v>
      </c>
      <c r="H57" s="17" t="n">
        <f aca="false">F57-G57</f>
        <v>0</v>
      </c>
      <c r="I57" s="18" t="n">
        <f aca="false">IF(E57="MUS",H57/F57,"")</f>
        <v>0</v>
      </c>
    </row>
    <row r="58" customFormat="false" ht="15" hidden="false" customHeight="false" outlineLevel="0" collapsed="false">
      <c r="A58" s="5" t="s">
        <v>266</v>
      </c>
      <c r="B58" s="5" t="s">
        <v>154</v>
      </c>
      <c r="C58" s="5" t="s">
        <v>171</v>
      </c>
      <c r="D58" s="5" t="s">
        <v>267</v>
      </c>
      <c r="E58" s="5" t="s">
        <v>160</v>
      </c>
      <c r="F58" s="16" t="n">
        <v>1505.511</v>
      </c>
      <c r="G58" s="16" t="n">
        <v>1505.511</v>
      </c>
      <c r="H58" s="17" t="n">
        <f aca="false">F58-G58</f>
        <v>0</v>
      </c>
      <c r="I58" s="18" t="n">
        <f aca="false">IF(E58="MUS",H58/F58,"")</f>
        <v>0</v>
      </c>
    </row>
    <row r="59" customFormat="false" ht="15" hidden="false" customHeight="false" outlineLevel="0" collapsed="false">
      <c r="A59" s="5" t="s">
        <v>268</v>
      </c>
      <c r="B59" s="5" t="s">
        <v>154</v>
      </c>
      <c r="C59" s="5" t="s">
        <v>171</v>
      </c>
      <c r="D59" s="5" t="s">
        <v>269</v>
      </c>
      <c r="E59" s="5" t="s">
        <v>160</v>
      </c>
      <c r="F59" s="16" t="n">
        <v>1418.942</v>
      </c>
      <c r="G59" s="16" t="n">
        <v>1418.942</v>
      </c>
      <c r="H59" s="17" t="n">
        <f aca="false">F59-G59</f>
        <v>0</v>
      </c>
      <c r="I59" s="18" t="n">
        <f aca="false">IF(E59="MUS",H59/F59,"")</f>
        <v>0</v>
      </c>
    </row>
    <row r="60" customFormat="false" ht="15" hidden="false" customHeight="false" outlineLevel="0" collapsed="false">
      <c r="A60" s="5" t="s">
        <v>270</v>
      </c>
      <c r="B60" s="5" t="s">
        <v>154</v>
      </c>
      <c r="C60" s="5" t="s">
        <v>190</v>
      </c>
      <c r="D60" s="5" t="s">
        <v>271</v>
      </c>
      <c r="E60" s="5" t="s">
        <v>160</v>
      </c>
      <c r="F60" s="16" t="n">
        <v>40.444</v>
      </c>
      <c r="G60" s="16" t="n">
        <v>40.444</v>
      </c>
      <c r="H60" s="17" t="n">
        <f aca="false">F60-G60</f>
        <v>0</v>
      </c>
      <c r="I60" s="18" t="n">
        <f aca="false">IF(E60="MUS",H60/F60,"")</f>
        <v>0</v>
      </c>
    </row>
    <row r="61" customFormat="false" ht="15" hidden="false" customHeight="false" outlineLevel="0" collapsed="false">
      <c r="A61" s="5" t="s">
        <v>272</v>
      </c>
      <c r="B61" s="5" t="s">
        <v>154</v>
      </c>
      <c r="C61" s="5" t="s">
        <v>174</v>
      </c>
      <c r="D61" s="5" t="s">
        <v>273</v>
      </c>
      <c r="E61" s="5" t="s">
        <v>160</v>
      </c>
      <c r="F61" s="16" t="n">
        <v>141.942</v>
      </c>
      <c r="G61" s="16" t="n">
        <v>141.942</v>
      </c>
      <c r="H61" s="17" t="n">
        <f aca="false">F61-G61</f>
        <v>0</v>
      </c>
      <c r="I61" s="18" t="n">
        <f aca="false">IF(E61="MUS",H61/F61,"")</f>
        <v>0</v>
      </c>
    </row>
    <row r="62" customFormat="false" ht="15" hidden="false" customHeight="false" outlineLevel="0" collapsed="false">
      <c r="A62" s="5" t="s">
        <v>274</v>
      </c>
      <c r="B62" s="5" t="s">
        <v>154</v>
      </c>
      <c r="C62" s="5" t="s">
        <v>166</v>
      </c>
      <c r="D62" s="5" t="s">
        <v>275</v>
      </c>
      <c r="E62" s="5" t="s">
        <v>160</v>
      </c>
      <c r="F62" s="16" t="n">
        <v>420.09</v>
      </c>
      <c r="G62" s="16" t="n">
        <v>420.09</v>
      </c>
      <c r="H62" s="17" t="n">
        <f aca="false">F62-G62</f>
        <v>0</v>
      </c>
      <c r="I62" s="18" t="n">
        <f aca="false">IF(E62="MUS",H62/F62,"")</f>
        <v>0</v>
      </c>
    </row>
    <row r="63" customFormat="false" ht="15" hidden="false" customHeight="false" outlineLevel="0" collapsed="false">
      <c r="A63" s="5" t="s">
        <v>276</v>
      </c>
      <c r="B63" s="5" t="s">
        <v>211</v>
      </c>
      <c r="C63" s="5" t="s">
        <v>212</v>
      </c>
      <c r="D63" s="5" t="s">
        <v>213</v>
      </c>
      <c r="E63" s="5" t="s">
        <v>160</v>
      </c>
      <c r="F63" s="16" t="n">
        <v>420.602</v>
      </c>
      <c r="G63" s="16" t="n">
        <v>420.602</v>
      </c>
      <c r="H63" s="17" t="n">
        <f aca="false">F63-G63</f>
        <v>0</v>
      </c>
      <c r="I63" s="18" t="n">
        <f aca="false">IF(E63="MUS",H63/F63,"")</f>
        <v>0</v>
      </c>
    </row>
    <row r="64" customFormat="false" ht="15" hidden="false" customHeight="false" outlineLevel="0" collapsed="false">
      <c r="A64" s="5" t="s">
        <v>277</v>
      </c>
      <c r="B64" s="5" t="s">
        <v>154</v>
      </c>
      <c r="C64" s="5" t="s">
        <v>171</v>
      </c>
      <c r="D64" s="5" t="s">
        <v>278</v>
      </c>
      <c r="E64" s="5" t="s">
        <v>160</v>
      </c>
      <c r="F64" s="16" t="n">
        <v>1221.476</v>
      </c>
      <c r="G64" s="16" t="n">
        <v>1221.476</v>
      </c>
      <c r="H64" s="17" t="n">
        <f aca="false">F64-G64</f>
        <v>0</v>
      </c>
      <c r="I64" s="18" t="n">
        <f aca="false">IF(E64="MUS",H64/F64,"")</f>
        <v>0</v>
      </c>
    </row>
    <row r="65" customFormat="false" ht="15" hidden="false" customHeight="false" outlineLevel="0" collapsed="false">
      <c r="A65" s="5" t="s">
        <v>279</v>
      </c>
      <c r="B65" s="5" t="s">
        <v>154</v>
      </c>
      <c r="C65" s="5" t="s">
        <v>171</v>
      </c>
      <c r="D65" s="5" t="s">
        <v>280</v>
      </c>
      <c r="E65" s="5" t="s">
        <v>160</v>
      </c>
      <c r="F65" s="16" t="n">
        <v>10106.334</v>
      </c>
      <c r="G65" s="16" t="n">
        <v>10106.334</v>
      </c>
      <c r="H65" s="17" t="n">
        <f aca="false">F65-G65</f>
        <v>0</v>
      </c>
      <c r="I65" s="18" t="n">
        <f aca="false">IF(E65="MUS",H65/F65,"")</f>
        <v>0</v>
      </c>
    </row>
    <row r="66" customFormat="false" ht="15" hidden="false" customHeight="false" outlineLevel="0" collapsed="false">
      <c r="A66" s="5" t="s">
        <v>281</v>
      </c>
      <c r="B66" s="5" t="s">
        <v>154</v>
      </c>
      <c r="C66" s="5" t="s">
        <v>174</v>
      </c>
      <c r="D66" s="5" t="s">
        <v>282</v>
      </c>
      <c r="E66" s="5" t="s">
        <v>160</v>
      </c>
      <c r="F66" s="16" t="n">
        <v>410.947</v>
      </c>
      <c r="G66" s="16" t="n">
        <v>410.947</v>
      </c>
      <c r="H66" s="17" t="n">
        <f aca="false">F66-G66</f>
        <v>0</v>
      </c>
      <c r="I66" s="18" t="n">
        <f aca="false">IF(E66="MUS",H66/F66,"")</f>
        <v>0</v>
      </c>
    </row>
    <row r="67" customFormat="false" ht="15" hidden="false" customHeight="false" outlineLevel="0" collapsed="false">
      <c r="A67" s="5" t="s">
        <v>283</v>
      </c>
      <c r="B67" s="5" t="s">
        <v>154</v>
      </c>
      <c r="C67" s="5" t="s">
        <v>226</v>
      </c>
      <c r="D67" s="5" t="s">
        <v>284</v>
      </c>
      <c r="E67" s="5" t="s">
        <v>160</v>
      </c>
      <c r="F67" s="16" t="n">
        <v>4447.156</v>
      </c>
      <c r="G67" s="16" t="n">
        <v>4447.156</v>
      </c>
      <c r="H67" s="17" t="n">
        <f aca="false">F67-G67</f>
        <v>0</v>
      </c>
      <c r="I67" s="18" t="n">
        <f aca="false">IF(E67="MUS",H67/F67,"")</f>
        <v>0</v>
      </c>
    </row>
    <row r="68" customFormat="false" ht="15" hidden="false" customHeight="false" outlineLevel="0" collapsed="false">
      <c r="A68" s="5" t="s">
        <v>285</v>
      </c>
      <c r="B68" s="5" t="s">
        <v>154</v>
      </c>
      <c r="C68" s="5" t="s">
        <v>166</v>
      </c>
      <c r="D68" s="5" t="s">
        <v>286</v>
      </c>
      <c r="E68" s="5" t="s">
        <v>160</v>
      </c>
      <c r="F68" s="16" t="n">
        <v>131.874</v>
      </c>
      <c r="G68" s="16" t="n">
        <v>131.874</v>
      </c>
      <c r="H68" s="17" t="n">
        <f aca="false">F68-G68</f>
        <v>0</v>
      </c>
      <c r="I68" s="18" t="n">
        <f aca="false">IF(E68="MUS",H68/F68,"")</f>
        <v>0</v>
      </c>
    </row>
    <row r="69" customFormat="false" ht="15" hidden="false" customHeight="false" outlineLevel="0" collapsed="false">
      <c r="A69" s="5" t="s">
        <v>287</v>
      </c>
      <c r="B69" s="5" t="s">
        <v>154</v>
      </c>
      <c r="C69" s="5" t="s">
        <v>171</v>
      </c>
      <c r="D69" s="5" t="s">
        <v>288</v>
      </c>
      <c r="E69" s="5" t="s">
        <v>160</v>
      </c>
      <c r="F69" s="16" t="n">
        <v>377.334</v>
      </c>
      <c r="G69" s="16" t="n">
        <v>377.334</v>
      </c>
      <c r="H69" s="17" t="n">
        <f aca="false">F69-G69</f>
        <v>0</v>
      </c>
      <c r="I69" s="18" t="n">
        <f aca="false">IF(E69="MUS",H69/F69,"")</f>
        <v>0</v>
      </c>
    </row>
    <row r="70" customFormat="false" ht="15" hidden="false" customHeight="false" outlineLevel="0" collapsed="false">
      <c r="A70" s="5" t="s">
        <v>289</v>
      </c>
      <c r="B70" s="5" t="s">
        <v>154</v>
      </c>
      <c r="C70" s="5" t="s">
        <v>171</v>
      </c>
      <c r="D70" s="5" t="s">
        <v>254</v>
      </c>
      <c r="E70" s="5" t="s">
        <v>160</v>
      </c>
      <c r="F70" s="16" t="n">
        <v>195.772</v>
      </c>
      <c r="G70" s="16" t="n">
        <v>195.772</v>
      </c>
      <c r="H70" s="17" t="n">
        <f aca="false">F70-G70</f>
        <v>0</v>
      </c>
      <c r="I70" s="18" t="n">
        <f aca="false">IF(E70="MUS",H70/F70,"")</f>
        <v>0</v>
      </c>
    </row>
    <row r="71" customFormat="false" ht="15" hidden="false" customHeight="false" outlineLevel="0" collapsed="false">
      <c r="A71" s="5" t="s">
        <v>290</v>
      </c>
      <c r="B71" s="5" t="s">
        <v>154</v>
      </c>
      <c r="C71" s="5" t="s">
        <v>226</v>
      </c>
      <c r="D71" s="5" t="s">
        <v>291</v>
      </c>
      <c r="E71" s="5" t="s">
        <v>160</v>
      </c>
      <c r="F71" s="16" t="n">
        <v>20222.828</v>
      </c>
      <c r="G71" s="16" t="n">
        <v>20222.828</v>
      </c>
      <c r="H71" s="17" t="n">
        <f aca="false">F71-G71</f>
        <v>0</v>
      </c>
      <c r="I71" s="18" t="n">
        <f aca="false">IF(E71="MUS",H71/F71,"")</f>
        <v>0</v>
      </c>
    </row>
    <row r="72" customFormat="false" ht="15" hidden="false" customHeight="false" outlineLevel="0" collapsed="false">
      <c r="A72" s="5" t="s">
        <v>292</v>
      </c>
      <c r="B72" s="5" t="s">
        <v>154</v>
      </c>
      <c r="C72" s="5" t="s">
        <v>226</v>
      </c>
      <c r="D72" s="5" t="s">
        <v>293</v>
      </c>
      <c r="E72" s="5" t="s">
        <v>160</v>
      </c>
      <c r="F72" s="16" t="n">
        <v>38432.609</v>
      </c>
      <c r="G72" s="16" t="n">
        <v>38432.609</v>
      </c>
      <c r="H72" s="17" t="n">
        <f aca="false">F72-G72</f>
        <v>0</v>
      </c>
      <c r="I72" s="18" t="n">
        <f aca="false">IF(E72="MUS",H72/F72,"")</f>
        <v>0</v>
      </c>
    </row>
    <row r="73" customFormat="false" ht="15" hidden="false" customHeight="false" outlineLevel="0" collapsed="false">
      <c r="A73" s="5" t="s">
        <v>294</v>
      </c>
      <c r="B73" s="5" t="s">
        <v>154</v>
      </c>
      <c r="C73" s="5" t="s">
        <v>171</v>
      </c>
      <c r="D73" s="5" t="s">
        <v>295</v>
      </c>
      <c r="E73" s="5" t="s">
        <v>160</v>
      </c>
      <c r="F73" s="16" t="n">
        <v>855.036</v>
      </c>
      <c r="G73" s="16" t="n">
        <v>855.036</v>
      </c>
      <c r="H73" s="17" t="n">
        <f aca="false">F73-G73</f>
        <v>0</v>
      </c>
      <c r="I73" s="18" t="n">
        <f aca="false">IF(E73="MUS",H73/F73,"")</f>
        <v>0</v>
      </c>
    </row>
    <row r="74" customFormat="false" ht="15" hidden="false" customHeight="false" outlineLevel="0" collapsed="false">
      <c r="A74" s="5" t="s">
        <v>296</v>
      </c>
      <c r="B74" s="5" t="s">
        <v>211</v>
      </c>
      <c r="C74" s="5" t="s">
        <v>212</v>
      </c>
      <c r="D74" s="5" t="s">
        <v>213</v>
      </c>
      <c r="E74" s="5" t="s">
        <v>160</v>
      </c>
      <c r="F74" s="16" t="n">
        <v>89.911</v>
      </c>
      <c r="G74" s="16" t="n">
        <v>89.911</v>
      </c>
      <c r="H74" s="17" t="n">
        <f aca="false">F74-G74</f>
        <v>0</v>
      </c>
      <c r="I74" s="18" t="n">
        <f aca="false">IF(E74="MUS",H74/F74,"")</f>
        <v>0</v>
      </c>
    </row>
    <row r="75" customFormat="false" ht="15" hidden="false" customHeight="false" outlineLevel="0" collapsed="false">
      <c r="A75" s="5" t="s">
        <v>297</v>
      </c>
      <c r="B75" s="5" t="s">
        <v>211</v>
      </c>
      <c r="C75" s="5" t="s">
        <v>212</v>
      </c>
      <c r="D75" s="5" t="s">
        <v>213</v>
      </c>
      <c r="E75" s="5" t="s">
        <v>160</v>
      </c>
      <c r="F75" s="16" t="n">
        <v>466.356</v>
      </c>
      <c r="G75" s="16" t="n">
        <v>466.356</v>
      </c>
      <c r="H75" s="17" t="n">
        <f aca="false">F75-G75</f>
        <v>0</v>
      </c>
      <c r="I75" s="18" t="n">
        <f aca="false">IF(E75="MUS",H75/F75,"")</f>
        <v>0</v>
      </c>
    </row>
    <row r="76" customFormat="false" ht="15" hidden="false" customHeight="false" outlineLevel="0" collapsed="false">
      <c r="A76" s="5" t="s">
        <v>298</v>
      </c>
      <c r="B76" s="5" t="s">
        <v>154</v>
      </c>
      <c r="C76" s="5" t="s">
        <v>171</v>
      </c>
      <c r="D76" s="5" t="s">
        <v>299</v>
      </c>
      <c r="E76" s="5" t="s">
        <v>160</v>
      </c>
      <c r="F76" s="16" t="n">
        <v>21789.506</v>
      </c>
      <c r="G76" s="16" t="n">
        <v>21789.506</v>
      </c>
      <c r="H76" s="17" t="n">
        <f aca="false">F76-G76</f>
        <v>0</v>
      </c>
      <c r="I76" s="18" t="n">
        <f aca="false">IF(E76="MUS",H76/F76,"")</f>
        <v>0</v>
      </c>
    </row>
    <row r="77" customFormat="false" ht="15" hidden="false" customHeight="false" outlineLevel="0" collapsed="false">
      <c r="A77" s="5" t="s">
        <v>300</v>
      </c>
      <c r="B77" s="5" t="s">
        <v>154</v>
      </c>
      <c r="C77" s="5" t="s">
        <v>174</v>
      </c>
      <c r="D77" s="5" t="s">
        <v>301</v>
      </c>
      <c r="E77" s="5" t="s">
        <v>160</v>
      </c>
      <c r="F77" s="16" t="n">
        <v>660.649</v>
      </c>
      <c r="G77" s="16" t="n">
        <v>660.649</v>
      </c>
      <c r="H77" s="17" t="n">
        <f aca="false">F77-G77</f>
        <v>0</v>
      </c>
      <c r="I77" s="18" t="n">
        <f aca="false">IF(E77="MUS",H77/F77,"")</f>
        <v>0</v>
      </c>
    </row>
    <row r="78" customFormat="false" ht="15" hidden="false" customHeight="false" outlineLevel="0" collapsed="false">
      <c r="A78" s="5" t="s">
        <v>302</v>
      </c>
      <c r="B78" s="5" t="s">
        <v>154</v>
      </c>
      <c r="C78" s="5" t="s">
        <v>226</v>
      </c>
      <c r="D78" s="5" t="s">
        <v>303</v>
      </c>
      <c r="E78" s="5" t="s">
        <v>160</v>
      </c>
      <c r="F78" s="16" t="n">
        <v>4113.463</v>
      </c>
      <c r="G78" s="16" t="n">
        <v>4113.463</v>
      </c>
      <c r="H78" s="17" t="n">
        <f aca="false">F78-G78</f>
        <v>0</v>
      </c>
      <c r="I78" s="18" t="n">
        <f aca="false">IF(E78="MUS",H78/F78,"")</f>
        <v>0</v>
      </c>
    </row>
    <row r="79" customFormat="false" ht="15" hidden="false" customHeight="false" outlineLevel="0" collapsed="false">
      <c r="A79" s="5" t="s">
        <v>304</v>
      </c>
      <c r="B79" s="5" t="s">
        <v>154</v>
      </c>
      <c r="C79" s="5" t="s">
        <v>171</v>
      </c>
      <c r="D79" s="5" t="s">
        <v>248</v>
      </c>
      <c r="E79" s="5" t="s">
        <v>160</v>
      </c>
      <c r="F79" s="16" t="n">
        <v>896.142</v>
      </c>
      <c r="G79" s="16" t="n">
        <v>896.142</v>
      </c>
      <c r="H79" s="17" t="n">
        <f aca="false">F79-G79</f>
        <v>0</v>
      </c>
      <c r="I79" s="18" t="n">
        <f aca="false">IF(E79="MUS",H79/F79,"")</f>
        <v>0</v>
      </c>
    </row>
    <row r="80" customFormat="false" ht="15" hidden="false" customHeight="false" outlineLevel="0" collapsed="false">
      <c r="A80" s="5" t="s">
        <v>305</v>
      </c>
      <c r="B80" s="5" t="s">
        <v>154</v>
      </c>
      <c r="C80" s="5" t="s">
        <v>171</v>
      </c>
      <c r="D80" s="5" t="s">
        <v>306</v>
      </c>
      <c r="E80" s="5" t="s">
        <v>160</v>
      </c>
      <c r="F80" s="16" t="n">
        <v>3906.062</v>
      </c>
      <c r="G80" s="16" t="n">
        <v>3906.062</v>
      </c>
      <c r="H80" s="17" t="n">
        <f aca="false">F80-G80</f>
        <v>0</v>
      </c>
      <c r="I80" s="18" t="n">
        <f aca="false">IF(E80="MUS",H80/F80,"")</f>
        <v>0</v>
      </c>
    </row>
    <row r="81" customFormat="false" ht="15" hidden="false" customHeight="false" outlineLevel="0" collapsed="false">
      <c r="A81" s="5" t="s">
        <v>307</v>
      </c>
      <c r="B81" s="5" t="s">
        <v>154</v>
      </c>
      <c r="C81" s="5" t="s">
        <v>171</v>
      </c>
      <c r="D81" s="5" t="s">
        <v>308</v>
      </c>
      <c r="E81" s="5" t="s">
        <v>160</v>
      </c>
      <c r="F81" s="16" t="n">
        <v>2119.162</v>
      </c>
      <c r="G81" s="16" t="n">
        <v>2119.162</v>
      </c>
      <c r="H81" s="17" t="n">
        <f aca="false">F81-G81</f>
        <v>0</v>
      </c>
      <c r="I81" s="18" t="n">
        <f aca="false">IF(E81="MUS",H81/F81,"")</f>
        <v>0</v>
      </c>
    </row>
    <row r="82" customFormat="false" ht="15" hidden="false" customHeight="false" outlineLevel="0" collapsed="false">
      <c r="A82" s="5" t="s">
        <v>309</v>
      </c>
      <c r="B82" s="5" t="s">
        <v>154</v>
      </c>
      <c r="C82" s="5" t="s">
        <v>166</v>
      </c>
      <c r="D82" s="5" t="s">
        <v>310</v>
      </c>
      <c r="E82" s="5" t="s">
        <v>160</v>
      </c>
      <c r="F82" s="16" t="n">
        <v>329.894</v>
      </c>
      <c r="G82" s="16" t="n">
        <v>329.894</v>
      </c>
      <c r="H82" s="17" t="n">
        <f aca="false">F82-G82</f>
        <v>0</v>
      </c>
      <c r="I82" s="18" t="n">
        <f aca="false">IF(E82="MUS",H82/F82,"")</f>
        <v>0</v>
      </c>
    </row>
    <row r="83" customFormat="false" ht="15" hidden="false" customHeight="false" outlineLevel="0" collapsed="false">
      <c r="A83" s="5" t="s">
        <v>311</v>
      </c>
      <c r="B83" s="5" t="s">
        <v>154</v>
      </c>
      <c r="C83" s="5" t="s">
        <v>155</v>
      </c>
      <c r="D83" s="5" t="s">
        <v>312</v>
      </c>
      <c r="E83" s="5" t="s">
        <v>160</v>
      </c>
      <c r="F83" s="16" t="n">
        <v>3546.062</v>
      </c>
      <c r="G83" s="16" t="n">
        <v>3546.062</v>
      </c>
      <c r="H83" s="17" t="n">
        <f aca="false">F83-G83</f>
        <v>0</v>
      </c>
      <c r="I83" s="18" t="n">
        <f aca="false">IF(E83="MUS",H83/F83,"")</f>
        <v>0</v>
      </c>
    </row>
    <row r="84" customFormat="false" ht="15" hidden="false" customHeight="false" outlineLevel="0" collapsed="false">
      <c r="A84" s="5" t="s">
        <v>313</v>
      </c>
      <c r="B84" s="5" t="s">
        <v>154</v>
      </c>
      <c r="C84" s="5" t="s">
        <v>155</v>
      </c>
      <c r="D84" s="5" t="s">
        <v>314</v>
      </c>
      <c r="E84" s="5" t="s">
        <v>160</v>
      </c>
      <c r="F84" s="16" t="n">
        <v>6279.875</v>
      </c>
      <c r="G84" s="16" t="n">
        <v>6279.875</v>
      </c>
      <c r="H84" s="17" t="n">
        <f aca="false">F84-G84</f>
        <v>0</v>
      </c>
      <c r="I84" s="18" t="n">
        <f aca="false">IF(E84="MUS",H84/F84,"")</f>
        <v>0</v>
      </c>
    </row>
    <row r="85" customFormat="false" ht="15" hidden="false" customHeight="false" outlineLevel="0" collapsed="false">
      <c r="A85" s="5" t="s">
        <v>315</v>
      </c>
      <c r="B85" s="5" t="s">
        <v>211</v>
      </c>
      <c r="C85" s="5" t="s">
        <v>212</v>
      </c>
      <c r="D85" s="5" t="s">
        <v>213</v>
      </c>
      <c r="E85" s="5" t="s">
        <v>160</v>
      </c>
      <c r="F85" s="16" t="n">
        <v>94.693</v>
      </c>
      <c r="G85" s="16" t="n">
        <v>94.693</v>
      </c>
      <c r="H85" s="17" t="n">
        <f aca="false">F85-G85</f>
        <v>0</v>
      </c>
      <c r="I85" s="18" t="n">
        <f aca="false">IF(E85="MUS",H85/F85,"")</f>
        <v>0</v>
      </c>
    </row>
    <row r="86" customFormat="false" ht="15" hidden="false" customHeight="false" outlineLevel="0" collapsed="false">
      <c r="A86" s="5" t="s">
        <v>316</v>
      </c>
      <c r="B86" s="5" t="s">
        <v>154</v>
      </c>
      <c r="C86" s="5" t="s">
        <v>166</v>
      </c>
      <c r="D86" s="5" t="s">
        <v>317</v>
      </c>
      <c r="E86" s="5" t="s">
        <v>160</v>
      </c>
      <c r="F86" s="16" t="n">
        <v>197.667</v>
      </c>
      <c r="G86" s="16" t="n">
        <v>197.667</v>
      </c>
      <c r="H86" s="17" t="n">
        <f aca="false">F86-G86</f>
        <v>0</v>
      </c>
      <c r="I86" s="18" t="n">
        <f aca="false">IF(E86="MUS",H86/F86,"")</f>
        <v>0</v>
      </c>
    </row>
    <row r="87" customFormat="false" ht="15" hidden="false" customHeight="false" outlineLevel="0" collapsed="false">
      <c r="A87" s="5" t="s">
        <v>318</v>
      </c>
      <c r="B87" s="5" t="s">
        <v>154</v>
      </c>
      <c r="C87" s="5" t="s">
        <v>190</v>
      </c>
      <c r="D87" s="5" t="s">
        <v>319</v>
      </c>
      <c r="E87" s="5" t="s">
        <v>160</v>
      </c>
      <c r="F87" s="16" t="n">
        <v>15.42</v>
      </c>
      <c r="G87" s="16" t="n">
        <v>15.42</v>
      </c>
      <c r="H87" s="17" t="n">
        <f aca="false">F87-G87</f>
        <v>0</v>
      </c>
      <c r="I87" s="18" t="n">
        <f aca="false">IF(E87="MUS",H87/F87,"")</f>
        <v>0</v>
      </c>
    </row>
    <row r="88" customFormat="false" ht="15" hidden="false" customHeight="false" outlineLevel="0" collapsed="false">
      <c r="A88" s="5" t="s">
        <v>320</v>
      </c>
      <c r="B88" s="5" t="s">
        <v>154</v>
      </c>
      <c r="C88" s="5" t="s">
        <v>226</v>
      </c>
      <c r="D88" s="5" t="s">
        <v>321</v>
      </c>
      <c r="E88" s="5" t="s">
        <v>160</v>
      </c>
      <c r="F88" s="16" t="n">
        <v>2815.923</v>
      </c>
      <c r="G88" s="16" t="n">
        <v>2815.923</v>
      </c>
      <c r="H88" s="17" t="n">
        <f aca="false">F88-G88</f>
        <v>0</v>
      </c>
      <c r="I88" s="18" t="n">
        <f aca="false">IF(E88="MUS",H88/F88,"")</f>
        <v>0</v>
      </c>
    </row>
    <row r="89" customFormat="false" ht="15" hidden="false" customHeight="false" outlineLevel="0" collapsed="false">
      <c r="A89" s="5" t="s">
        <v>322</v>
      </c>
      <c r="B89" s="5" t="s">
        <v>154</v>
      </c>
      <c r="C89" s="5" t="s">
        <v>174</v>
      </c>
      <c r="D89" s="5" t="s">
        <v>323</v>
      </c>
      <c r="E89" s="5" t="s">
        <v>160</v>
      </c>
      <c r="F89" s="16" t="n">
        <v>145.703</v>
      </c>
      <c r="G89" s="16" t="n">
        <v>145.703</v>
      </c>
      <c r="H89" s="17" t="n">
        <f aca="false">F89-G89</f>
        <v>0</v>
      </c>
      <c r="I89" s="18" t="n">
        <f aca="false">IF(E89="MUS",H89/F89,"")</f>
        <v>0</v>
      </c>
    </row>
    <row r="90" customFormat="false" ht="15" hidden="false" customHeight="false" outlineLevel="0" collapsed="false">
      <c r="A90" s="5" t="s">
        <v>324</v>
      </c>
      <c r="B90" s="5" t="s">
        <v>154</v>
      </c>
      <c r="C90" s="5" t="s">
        <v>174</v>
      </c>
      <c r="D90" s="5" t="s">
        <v>325</v>
      </c>
      <c r="E90" s="5" t="s">
        <v>160</v>
      </c>
      <c r="F90" s="16" t="n">
        <v>748.897</v>
      </c>
      <c r="G90" s="16" t="n">
        <v>748.897</v>
      </c>
      <c r="H90" s="17" t="n">
        <f aca="false">F90-G90</f>
        <v>0</v>
      </c>
      <c r="I90" s="18" t="n">
        <f aca="false">IF(E90="MUS",H90/F90,"")</f>
        <v>0</v>
      </c>
    </row>
    <row r="91" customFormat="false" ht="15" hidden="false" customHeight="false" outlineLevel="0" collapsed="false">
      <c r="A91" s="5" t="s">
        <v>326</v>
      </c>
      <c r="B91" s="5" t="s">
        <v>154</v>
      </c>
      <c r="C91" s="5" t="s">
        <v>174</v>
      </c>
      <c r="D91" s="5" t="s">
        <v>327</v>
      </c>
      <c r="E91" s="5" t="s">
        <v>160</v>
      </c>
      <c r="F91" s="16" t="n">
        <v>363.642</v>
      </c>
      <c r="G91" s="16" t="n">
        <v>363.642</v>
      </c>
      <c r="H91" s="17" t="n">
        <f aca="false">F91-G91</f>
        <v>0</v>
      </c>
      <c r="I91" s="18" t="n">
        <f aca="false">IF(E91="MUS",H91/F91,"")</f>
        <v>0</v>
      </c>
    </row>
    <row r="92" customFormat="false" ht="15" hidden="false" customHeight="false" outlineLevel="0" collapsed="false">
      <c r="A92" s="5" t="s">
        <v>328</v>
      </c>
      <c r="B92" s="5" t="s">
        <v>154</v>
      </c>
      <c r="C92" s="5" t="s">
        <v>171</v>
      </c>
      <c r="D92" s="5" t="s">
        <v>248</v>
      </c>
      <c r="E92" s="5" t="s">
        <v>160</v>
      </c>
      <c r="F92" s="16" t="n">
        <v>270.27</v>
      </c>
      <c r="G92" s="16" t="n">
        <v>270.27</v>
      </c>
      <c r="H92" s="17" t="n">
        <f aca="false">F92-G92</f>
        <v>0</v>
      </c>
      <c r="I92" s="18" t="n">
        <f aca="false">IF(E92="MUS",H92/F92,"")</f>
        <v>0</v>
      </c>
    </row>
    <row r="93" customFormat="false" ht="15" hidden="false" customHeight="false" outlineLevel="0" collapsed="false">
      <c r="A93" s="5" t="s">
        <v>329</v>
      </c>
      <c r="B93" s="5" t="s">
        <v>154</v>
      </c>
      <c r="C93" s="5" t="s">
        <v>166</v>
      </c>
      <c r="D93" s="5" t="s">
        <v>330</v>
      </c>
      <c r="E93" s="5" t="s">
        <v>160</v>
      </c>
      <c r="F93" s="16" t="n">
        <v>583.898</v>
      </c>
      <c r="G93" s="16" t="n">
        <v>583.898</v>
      </c>
      <c r="H93" s="17" t="n">
        <f aca="false">F93-G93</f>
        <v>0</v>
      </c>
      <c r="I93" s="18" t="n">
        <f aca="false">IF(E93="MUS",H93/F93,"")</f>
        <v>0</v>
      </c>
    </row>
    <row r="94" customFormat="false" ht="15" hidden="false" customHeight="false" outlineLevel="0" collapsed="false">
      <c r="A94" s="5" t="s">
        <v>331</v>
      </c>
      <c r="B94" s="5" t="s">
        <v>154</v>
      </c>
      <c r="C94" s="5" t="s">
        <v>171</v>
      </c>
      <c r="D94" s="5" t="s">
        <v>332</v>
      </c>
      <c r="E94" s="5" t="s">
        <v>160</v>
      </c>
      <c r="F94" s="16" t="n">
        <v>197.453</v>
      </c>
      <c r="G94" s="16" t="n">
        <v>197.453</v>
      </c>
      <c r="H94" s="17" t="n">
        <f aca="false">F94-G94</f>
        <v>0</v>
      </c>
      <c r="I94" s="18" t="n">
        <f aca="false">IF(E94="MUS",H94/F94,"")</f>
        <v>0</v>
      </c>
    </row>
    <row r="95" customFormat="false" ht="15" hidden="false" customHeight="false" outlineLevel="0" collapsed="false">
      <c r="A95" s="5" t="s">
        <v>333</v>
      </c>
      <c r="B95" s="5" t="s">
        <v>154</v>
      </c>
      <c r="C95" s="5" t="s">
        <v>190</v>
      </c>
      <c r="D95" s="5" t="s">
        <v>334</v>
      </c>
      <c r="E95" s="5" t="s">
        <v>160</v>
      </c>
      <c r="F95" s="16" t="n">
        <v>49.314</v>
      </c>
      <c r="G95" s="16" t="n">
        <v>49.314</v>
      </c>
      <c r="H95" s="17" t="n">
        <f aca="false">F95-G95</f>
        <v>0</v>
      </c>
      <c r="I95" s="18" t="n">
        <f aca="false">IF(E95="MUS",H95/F95,"")</f>
        <v>0</v>
      </c>
    </row>
    <row r="96" customFormat="false" ht="15" hidden="false" customHeight="false" outlineLevel="0" collapsed="false">
      <c r="A96" s="5" t="s">
        <v>335</v>
      </c>
      <c r="B96" s="5" t="s">
        <v>154</v>
      </c>
      <c r="C96" s="5" t="s">
        <v>174</v>
      </c>
      <c r="D96" s="5" t="s">
        <v>156</v>
      </c>
      <c r="E96" s="5" t="s">
        <v>160</v>
      </c>
      <c r="F96" s="16" t="n">
        <v>449.582</v>
      </c>
      <c r="G96" s="16" t="n">
        <v>449.582</v>
      </c>
      <c r="H96" s="17" t="n">
        <f aca="false">F96-G96</f>
        <v>0</v>
      </c>
      <c r="I96" s="18" t="n">
        <f aca="false">IF(E96="MUS",H96/F96,"")</f>
        <v>0</v>
      </c>
    </row>
    <row r="97" customFormat="false" ht="15" hidden="false" customHeight="false" outlineLevel="0" collapsed="false">
      <c r="A97" s="5" t="s">
        <v>336</v>
      </c>
      <c r="B97" s="5" t="s">
        <v>154</v>
      </c>
      <c r="C97" s="5" t="s">
        <v>174</v>
      </c>
      <c r="D97" s="5" t="s">
        <v>337</v>
      </c>
      <c r="E97" s="5" t="s">
        <v>160</v>
      </c>
      <c r="F97" s="16" t="n">
        <v>1314.291</v>
      </c>
      <c r="G97" s="16" t="n">
        <v>1314.291</v>
      </c>
      <c r="H97" s="17" t="n">
        <f aca="false">F97-G97</f>
        <v>0</v>
      </c>
      <c r="I97" s="18" t="n">
        <f aca="false">IF(E97="MUS",H97/F97,"")</f>
        <v>0</v>
      </c>
    </row>
    <row r="98" customFormat="false" ht="15" hidden="false" customHeight="false" outlineLevel="0" collapsed="false">
      <c r="A98" s="5" t="s">
        <v>338</v>
      </c>
      <c r="B98" s="5" t="s">
        <v>154</v>
      </c>
      <c r="C98" s="5" t="s">
        <v>226</v>
      </c>
      <c r="D98" s="5" t="s">
        <v>339</v>
      </c>
      <c r="E98" s="5" t="s">
        <v>160</v>
      </c>
      <c r="F98" s="16" t="n">
        <v>81022.965</v>
      </c>
      <c r="G98" s="16" t="n">
        <v>81022.965</v>
      </c>
      <c r="H98" s="17" t="n">
        <f aca="false">F98-G98</f>
        <v>0</v>
      </c>
      <c r="I98" s="18" t="n">
        <f aca="false">IF(E98="MUS",H98/F98,"")</f>
        <v>0</v>
      </c>
    </row>
    <row r="99" customFormat="false" ht="15" hidden="false" customHeight="false" outlineLevel="0" collapsed="false">
      <c r="A99" s="5" t="s">
        <v>340</v>
      </c>
      <c r="B99" s="5" t="s">
        <v>154</v>
      </c>
      <c r="C99" s="5" t="s">
        <v>226</v>
      </c>
      <c r="D99" s="5" t="s">
        <v>341</v>
      </c>
      <c r="E99" s="5" t="s">
        <v>160</v>
      </c>
      <c r="F99" s="16" t="n">
        <v>5890.488</v>
      </c>
      <c r="G99" s="16" t="n">
        <v>5890.488</v>
      </c>
      <c r="H99" s="17" t="n">
        <f aca="false">F99-G99</f>
        <v>0</v>
      </c>
      <c r="I99" s="18" t="n">
        <f aca="false">IF(E99="MUS",H99/F99,"")</f>
        <v>0</v>
      </c>
    </row>
    <row r="100" customFormat="false" ht="15" hidden="false" customHeight="false" outlineLevel="0" collapsed="false">
      <c r="A100" s="5" t="s">
        <v>342</v>
      </c>
      <c r="B100" s="5" t="s">
        <v>154</v>
      </c>
      <c r="C100" s="5" t="s">
        <v>171</v>
      </c>
      <c r="D100" s="5" t="s">
        <v>343</v>
      </c>
      <c r="E100" s="5" t="s">
        <v>160</v>
      </c>
      <c r="F100" s="16" t="n">
        <v>6156.733</v>
      </c>
      <c r="G100" s="16" t="n">
        <v>6156.733</v>
      </c>
      <c r="H100" s="17" t="n">
        <f aca="false">F100-G100</f>
        <v>0</v>
      </c>
      <c r="I100" s="18" t="n">
        <f aca="false">IF(E100="MUS",H100/F100,"")</f>
        <v>0</v>
      </c>
    </row>
    <row r="101" customFormat="false" ht="15" hidden="false" customHeight="false" outlineLevel="0" collapsed="false">
      <c r="A101" s="5" t="s">
        <v>344</v>
      </c>
      <c r="B101" s="5" t="s">
        <v>154</v>
      </c>
      <c r="C101" s="5" t="s">
        <v>155</v>
      </c>
      <c r="D101" s="5" t="s">
        <v>345</v>
      </c>
      <c r="E101" s="5" t="s">
        <v>160</v>
      </c>
      <c r="F101" s="16" t="n">
        <v>11734.805</v>
      </c>
      <c r="G101" s="16" t="n">
        <v>11734.805</v>
      </c>
      <c r="H101" s="17" t="n">
        <f aca="false">F101-G101</f>
        <v>0</v>
      </c>
      <c r="I101" s="18" t="n">
        <f aca="false">IF(E101="MUS",H101/F101,"")</f>
        <v>0</v>
      </c>
    </row>
    <row r="102" customFormat="false" ht="15" hidden="false" customHeight="false" outlineLevel="0" collapsed="false">
      <c r="A102" s="5" t="s">
        <v>346</v>
      </c>
      <c r="B102" s="5" t="s">
        <v>154</v>
      </c>
      <c r="C102" s="5" t="s">
        <v>174</v>
      </c>
      <c r="D102" s="5" t="s">
        <v>347</v>
      </c>
      <c r="E102" s="5" t="s">
        <v>160</v>
      </c>
      <c r="F102" s="16" t="n">
        <v>20.405</v>
      </c>
      <c r="G102" s="16" t="n">
        <v>20.405</v>
      </c>
      <c r="H102" s="17" t="n">
        <f aca="false">F102-G102</f>
        <v>0</v>
      </c>
      <c r="I102" s="18" t="n">
        <f aca="false">IF(E102="MUS",H102/F102,"")</f>
        <v>0</v>
      </c>
    </row>
    <row r="103" customFormat="false" ht="15" hidden="false" customHeight="false" outlineLevel="0" collapsed="false">
      <c r="A103" s="5" t="s">
        <v>348</v>
      </c>
      <c r="B103" s="5" t="s">
        <v>154</v>
      </c>
      <c r="C103" s="5" t="s">
        <v>190</v>
      </c>
      <c r="D103" s="5" t="s">
        <v>246</v>
      </c>
      <c r="E103" s="5" t="s">
        <v>160</v>
      </c>
      <c r="F103" s="16" t="n">
        <v>32.384</v>
      </c>
      <c r="G103" s="16" t="n">
        <v>32.384</v>
      </c>
      <c r="H103" s="17" t="n">
        <f aca="false">F103-G103</f>
        <v>0</v>
      </c>
      <c r="I103" s="18" t="n">
        <f aca="false">IF(E103="MUS",H103/F103,"")</f>
        <v>0</v>
      </c>
    </row>
    <row r="104" customFormat="false" ht="15" hidden="false" customHeight="false" outlineLevel="0" collapsed="false">
      <c r="A104" s="5" t="s">
        <v>349</v>
      </c>
      <c r="B104" s="5" t="s">
        <v>154</v>
      </c>
      <c r="C104" s="5" t="s">
        <v>171</v>
      </c>
      <c r="D104" s="5" t="s">
        <v>350</v>
      </c>
      <c r="E104" s="5" t="s">
        <v>160</v>
      </c>
      <c r="F104" s="16" t="n">
        <v>738.194</v>
      </c>
      <c r="G104" s="16" t="n">
        <v>738.194</v>
      </c>
      <c r="H104" s="17" t="n">
        <f aca="false">F104-G104</f>
        <v>0</v>
      </c>
      <c r="I104" s="18" t="n">
        <f aca="false">IF(E104="MUS",H104/F104,"")</f>
        <v>0</v>
      </c>
    </row>
    <row r="105" customFormat="false" ht="15" hidden="false" customHeight="false" outlineLevel="0" collapsed="false">
      <c r="A105" s="5" t="s">
        <v>351</v>
      </c>
      <c r="B105" s="5" t="s">
        <v>154</v>
      </c>
      <c r="C105" s="5" t="s">
        <v>166</v>
      </c>
      <c r="D105" s="5" t="s">
        <v>352</v>
      </c>
      <c r="E105" s="5" t="s">
        <v>160</v>
      </c>
      <c r="F105" s="16" t="n">
        <v>296.227</v>
      </c>
      <c r="G105" s="16" t="n">
        <v>296.227</v>
      </c>
      <c r="H105" s="17" t="n">
        <f aca="false">F105-G105</f>
        <v>0</v>
      </c>
      <c r="I105" s="18" t="n">
        <f aca="false">IF(E105="MUS",H105/F105,"")</f>
        <v>0</v>
      </c>
    </row>
    <row r="106" customFormat="false" ht="15" hidden="false" customHeight="false" outlineLevel="0" collapsed="false">
      <c r="A106" s="5" t="s">
        <v>353</v>
      </c>
      <c r="B106" s="5" t="s">
        <v>154</v>
      </c>
      <c r="C106" s="5" t="s">
        <v>190</v>
      </c>
      <c r="D106" s="5" t="s">
        <v>354</v>
      </c>
      <c r="E106" s="5" t="s">
        <v>160</v>
      </c>
      <c r="F106" s="16" t="n">
        <v>21.41</v>
      </c>
      <c r="G106" s="16" t="n">
        <v>21.41</v>
      </c>
      <c r="H106" s="17" t="n">
        <f aca="false">F106-G106</f>
        <v>0</v>
      </c>
      <c r="I106" s="18" t="n">
        <f aca="false">IF(E106="MUS",H106/F106,"")</f>
        <v>0</v>
      </c>
    </row>
    <row r="107" customFormat="false" ht="15" hidden="false" customHeight="false" outlineLevel="0" collapsed="false">
      <c r="A107" s="5" t="s">
        <v>355</v>
      </c>
      <c r="B107" s="5" t="s">
        <v>154</v>
      </c>
      <c r="C107" s="5" t="s">
        <v>190</v>
      </c>
      <c r="D107" s="5" t="s">
        <v>356</v>
      </c>
      <c r="E107" s="5" t="s">
        <v>160</v>
      </c>
      <c r="F107" s="16" t="n">
        <v>1717.082</v>
      </c>
      <c r="G107" s="16" t="n">
        <v>1717.082</v>
      </c>
      <c r="H107" s="17" t="n">
        <f aca="false">F107-G107</f>
        <v>0</v>
      </c>
      <c r="I107" s="18" t="n">
        <f aca="false">IF(E107="MUS",H107/F107,"")</f>
        <v>0</v>
      </c>
    </row>
    <row r="108" customFormat="false" ht="15" hidden="false" customHeight="false" outlineLevel="0" collapsed="false">
      <c r="A108" s="5" t="s">
        <v>357</v>
      </c>
      <c r="B108" s="5" t="s">
        <v>154</v>
      </c>
      <c r="C108" s="5" t="s">
        <v>155</v>
      </c>
      <c r="D108" s="5" t="s">
        <v>323</v>
      </c>
      <c r="E108" s="5" t="s">
        <v>160</v>
      </c>
      <c r="F108" s="16" t="n">
        <v>4498.858</v>
      </c>
      <c r="G108" s="16" t="n">
        <v>4498.858</v>
      </c>
      <c r="H108" s="17" t="n">
        <f aca="false">F108-G108</f>
        <v>0</v>
      </c>
      <c r="I108" s="18" t="n">
        <f aca="false">IF(E108="MUS",H108/F108,"")</f>
        <v>0</v>
      </c>
    </row>
    <row r="109" customFormat="false" ht="15" hidden="false" customHeight="false" outlineLevel="0" collapsed="false">
      <c r="A109" s="5" t="s">
        <v>358</v>
      </c>
      <c r="B109" s="5" t="s">
        <v>154</v>
      </c>
      <c r="C109" s="5" t="s">
        <v>155</v>
      </c>
      <c r="D109" s="5" t="s">
        <v>359</v>
      </c>
      <c r="E109" s="5" t="s">
        <v>160</v>
      </c>
      <c r="F109" s="16" t="n">
        <v>27031.506</v>
      </c>
      <c r="G109" s="16" t="n">
        <v>27031.506</v>
      </c>
      <c r="H109" s="17" t="n">
        <f aca="false">F109-G109</f>
        <v>0</v>
      </c>
      <c r="I109" s="18" t="n">
        <f aca="false">IF(E109="MUS",H109/F109,"")</f>
        <v>0</v>
      </c>
    </row>
    <row r="110" customFormat="false" ht="15" hidden="false" customHeight="false" outlineLevel="0" collapsed="false">
      <c r="A110" s="5" t="s">
        <v>360</v>
      </c>
      <c r="B110" s="5" t="s">
        <v>154</v>
      </c>
      <c r="C110" s="5" t="s">
        <v>166</v>
      </c>
      <c r="D110" s="5" t="s">
        <v>361</v>
      </c>
      <c r="E110" s="5" t="s">
        <v>160</v>
      </c>
      <c r="F110" s="16" t="n">
        <v>2972.731</v>
      </c>
      <c r="G110" s="16" t="n">
        <v>2972.731</v>
      </c>
      <c r="H110" s="17" t="n">
        <f aca="false">F110-G110</f>
        <v>0</v>
      </c>
      <c r="I110" s="18" t="n">
        <f aca="false">IF(E110="MUS",H110/F110,"")</f>
        <v>0</v>
      </c>
    </row>
    <row r="111" customFormat="false" ht="15" hidden="false" customHeight="false" outlineLevel="0" collapsed="false">
      <c r="A111" s="5" t="s">
        <v>362</v>
      </c>
      <c r="B111" s="5" t="s">
        <v>154</v>
      </c>
      <c r="C111" s="5" t="s">
        <v>166</v>
      </c>
      <c r="D111" s="5" t="s">
        <v>363</v>
      </c>
      <c r="E111" s="5" t="s">
        <v>160</v>
      </c>
      <c r="F111" s="16" t="n">
        <v>774.402</v>
      </c>
      <c r="G111" s="16" t="n">
        <v>774.402</v>
      </c>
      <c r="H111" s="17" t="n">
        <f aca="false">F111-G111</f>
        <v>0</v>
      </c>
      <c r="I111" s="18" t="n">
        <f aca="false">IF(E111="MUS",H111/F111,"")</f>
        <v>0</v>
      </c>
    </row>
    <row r="112" customFormat="false" ht="15" hidden="false" customHeight="false" outlineLevel="0" collapsed="false">
      <c r="A112" s="5" t="s">
        <v>364</v>
      </c>
      <c r="B112" s="5" t="s">
        <v>154</v>
      </c>
      <c r="C112" s="5" t="s">
        <v>166</v>
      </c>
      <c r="D112" s="5" t="s">
        <v>365</v>
      </c>
      <c r="E112" s="5" t="s">
        <v>160</v>
      </c>
      <c r="F112" s="16" t="n">
        <v>677.104</v>
      </c>
      <c r="G112" s="16" t="n">
        <v>677.104</v>
      </c>
      <c r="H112" s="17" t="n">
        <f aca="false">F112-G112</f>
        <v>0</v>
      </c>
      <c r="I112" s="18" t="n">
        <f aca="false">IF(E112="MUS",H112/F112,"")</f>
        <v>0</v>
      </c>
    </row>
    <row r="113" customFormat="false" ht="15" hidden="false" customHeight="false" outlineLevel="0" collapsed="false">
      <c r="A113" s="5" t="s">
        <v>366</v>
      </c>
      <c r="B113" s="5" t="s">
        <v>154</v>
      </c>
      <c r="C113" s="5" t="s">
        <v>171</v>
      </c>
      <c r="D113" s="5" t="s">
        <v>367</v>
      </c>
      <c r="E113" s="5" t="s">
        <v>160</v>
      </c>
      <c r="F113" s="16" t="n">
        <v>2796.983</v>
      </c>
      <c r="G113" s="16" t="n">
        <v>2796.983</v>
      </c>
      <c r="H113" s="17" t="n">
        <f aca="false">F113-G113</f>
        <v>0</v>
      </c>
      <c r="I113" s="18" t="n">
        <f aca="false">IF(E113="MUS",H113/F113,"")</f>
        <v>0</v>
      </c>
    </row>
    <row r="114" customFormat="false" ht="15" hidden="false" customHeight="false" outlineLevel="0" collapsed="false">
      <c r="A114" s="5" t="s">
        <v>368</v>
      </c>
      <c r="B114" s="5" t="s">
        <v>154</v>
      </c>
      <c r="C114" s="5" t="s">
        <v>177</v>
      </c>
      <c r="D114" s="5" t="s">
        <v>369</v>
      </c>
      <c r="E114" s="5" t="s">
        <v>160</v>
      </c>
      <c r="F114" s="16" t="n">
        <v>126.027</v>
      </c>
      <c r="G114" s="16" t="n">
        <v>126.027</v>
      </c>
      <c r="H114" s="17" t="n">
        <f aca="false">F114-G114</f>
        <v>0</v>
      </c>
      <c r="I114" s="18" t="n">
        <f aca="false">IF(E114="MUS",H114/F114,"")</f>
        <v>0</v>
      </c>
    </row>
    <row r="115" customFormat="false" ht="15" hidden="false" customHeight="false" outlineLevel="0" collapsed="false">
      <c r="A115" s="5" t="s">
        <v>370</v>
      </c>
      <c r="B115" s="5" t="s">
        <v>154</v>
      </c>
      <c r="C115" s="5" t="s">
        <v>190</v>
      </c>
      <c r="D115" s="5" t="s">
        <v>217</v>
      </c>
      <c r="E115" s="5" t="s">
        <v>160</v>
      </c>
      <c r="F115" s="16" t="n">
        <v>32.838</v>
      </c>
      <c r="G115" s="16" t="n">
        <v>32.838</v>
      </c>
      <c r="H115" s="17" t="n">
        <f aca="false">F115-G115</f>
        <v>0</v>
      </c>
      <c r="I115" s="18" t="n">
        <f aca="false">IF(E115="MUS",H115/F115,"")</f>
        <v>0</v>
      </c>
    </row>
    <row r="116" customFormat="false" ht="15" hidden="false" customHeight="false" outlineLevel="0" collapsed="false">
      <c r="A116" s="5" t="s">
        <v>371</v>
      </c>
      <c r="B116" s="5" t="s">
        <v>154</v>
      </c>
      <c r="C116" s="5" t="s">
        <v>177</v>
      </c>
      <c r="D116" s="5" t="s">
        <v>372</v>
      </c>
      <c r="E116" s="5" t="s">
        <v>160</v>
      </c>
      <c r="F116" s="16" t="n">
        <v>27.633</v>
      </c>
      <c r="G116" s="16" t="n">
        <v>27.633</v>
      </c>
      <c r="H116" s="17" t="n">
        <f aca="false">F116-G116</f>
        <v>0</v>
      </c>
      <c r="I116" s="18" t="n">
        <f aca="false">IF(E116="MUS",H116/F116,"")</f>
        <v>0</v>
      </c>
    </row>
    <row r="117" customFormat="false" ht="15" hidden="false" customHeight="false" outlineLevel="0" collapsed="false">
      <c r="A117" s="5" t="s">
        <v>373</v>
      </c>
      <c r="B117" s="5" t="s">
        <v>154</v>
      </c>
      <c r="C117" s="5" t="s">
        <v>171</v>
      </c>
      <c r="D117" s="5" t="s">
        <v>374</v>
      </c>
      <c r="E117" s="5" t="s">
        <v>160</v>
      </c>
      <c r="F117" s="16" t="n">
        <v>628.058</v>
      </c>
      <c r="G117" s="16" t="n">
        <v>628.058</v>
      </c>
      <c r="H117" s="17" t="n">
        <f aca="false">F117-G117</f>
        <v>0</v>
      </c>
      <c r="I117" s="18" t="n">
        <f aca="false">IF(E117="MUS",H117/F117,"")</f>
        <v>0</v>
      </c>
    </row>
    <row r="118" customFormat="false" ht="15" hidden="false" customHeight="false" outlineLevel="0" collapsed="false">
      <c r="A118" s="5" t="s">
        <v>375</v>
      </c>
      <c r="B118" s="5" t="s">
        <v>154</v>
      </c>
      <c r="C118" s="5" t="s">
        <v>190</v>
      </c>
      <c r="D118" s="5" t="s">
        <v>178</v>
      </c>
      <c r="E118" s="5" t="s">
        <v>160</v>
      </c>
      <c r="F118" s="16" t="n">
        <v>73.773</v>
      </c>
      <c r="G118" s="16" t="n">
        <v>73.773</v>
      </c>
      <c r="H118" s="17" t="n">
        <f aca="false">F118-G118</f>
        <v>0</v>
      </c>
      <c r="I118" s="18" t="n">
        <f aca="false">IF(E118="MUS",H118/F118,"")</f>
        <v>0</v>
      </c>
    </row>
    <row r="119" customFormat="false" ht="15" hidden="false" customHeight="false" outlineLevel="0" collapsed="false">
      <c r="A119" s="5" t="s">
        <v>376</v>
      </c>
      <c r="B119" s="5" t="s">
        <v>154</v>
      </c>
      <c r="C119" s="5" t="s">
        <v>155</v>
      </c>
      <c r="D119" s="5" t="s">
        <v>377</v>
      </c>
      <c r="E119" s="5" t="s">
        <v>160</v>
      </c>
      <c r="F119" s="16" t="n">
        <v>13883.26</v>
      </c>
      <c r="G119" s="16" t="n">
        <v>13883.26</v>
      </c>
      <c r="H119" s="17" t="n">
        <f aca="false">F119-G119</f>
        <v>0</v>
      </c>
      <c r="I119" s="18" t="n">
        <f aca="false">IF(E119="MUS",H119/F119,"")</f>
        <v>0</v>
      </c>
    </row>
    <row r="120" customFormat="false" ht="15" hidden="false" customHeight="false" outlineLevel="0" collapsed="false">
      <c r="A120" s="5" t="s">
        <v>378</v>
      </c>
      <c r="B120" s="5" t="s">
        <v>154</v>
      </c>
      <c r="C120" s="5" t="s">
        <v>171</v>
      </c>
      <c r="D120" s="5" t="s">
        <v>379</v>
      </c>
      <c r="E120" s="5" t="s">
        <v>160</v>
      </c>
      <c r="F120" s="16" t="n">
        <v>2336.506</v>
      </c>
      <c r="G120" s="16" t="n">
        <v>2336.506</v>
      </c>
      <c r="H120" s="17" t="n">
        <f aca="false">F120-G120</f>
        <v>0</v>
      </c>
      <c r="I120" s="18" t="n">
        <f aca="false">IF(E120="MUS",H120/F120,"")</f>
        <v>0</v>
      </c>
    </row>
    <row r="121" customFormat="false" ht="15" hidden="false" customHeight="false" outlineLevel="0" collapsed="false">
      <c r="A121" s="5" t="s">
        <v>380</v>
      </c>
      <c r="B121" s="5" t="s">
        <v>154</v>
      </c>
      <c r="C121" s="5" t="s">
        <v>174</v>
      </c>
      <c r="D121" s="5" t="s">
        <v>381</v>
      </c>
      <c r="E121" s="5" t="s">
        <v>160</v>
      </c>
      <c r="F121" s="16" t="n">
        <v>16.74</v>
      </c>
      <c r="G121" s="16" t="n">
        <v>16.74</v>
      </c>
      <c r="H121" s="17" t="n">
        <f aca="false">F121-G121</f>
        <v>0</v>
      </c>
      <c r="I121" s="18" t="n">
        <f aca="false">IF(E121="MUS",H121/F121,"")</f>
        <v>0</v>
      </c>
    </row>
    <row r="122" customFormat="false" ht="15" hidden="false" customHeight="false" outlineLevel="0" collapsed="false">
      <c r="A122" s="5" t="s">
        <v>382</v>
      </c>
      <c r="B122" s="5" t="s">
        <v>154</v>
      </c>
      <c r="C122" s="5" t="s">
        <v>166</v>
      </c>
      <c r="D122" s="5" t="s">
        <v>383</v>
      </c>
      <c r="E122" s="5" t="s">
        <v>160</v>
      </c>
      <c r="F122" s="16" t="n">
        <v>1754.971</v>
      </c>
      <c r="G122" s="16" t="n">
        <v>1754.971</v>
      </c>
      <c r="H122" s="17" t="n">
        <f aca="false">F122-G122</f>
        <v>0</v>
      </c>
      <c r="I122" s="18" t="n">
        <f aca="false">IF(E122="MUS",H122/F122,"")</f>
        <v>0</v>
      </c>
    </row>
    <row r="123" customFormat="false" ht="15" hidden="false" customHeight="false" outlineLevel="0" collapsed="false">
      <c r="A123" s="5" t="s">
        <v>384</v>
      </c>
      <c r="B123" s="5" t="s">
        <v>154</v>
      </c>
      <c r="C123" s="5" t="s">
        <v>174</v>
      </c>
      <c r="D123" s="5" t="s">
        <v>188</v>
      </c>
      <c r="E123" s="5" t="s">
        <v>160</v>
      </c>
      <c r="F123" s="16" t="n">
        <v>543.147</v>
      </c>
      <c r="G123" s="16" t="n">
        <v>543.147</v>
      </c>
      <c r="H123" s="17" t="n">
        <f aca="false">F123-G123</f>
        <v>0</v>
      </c>
      <c r="I123" s="18" t="n">
        <f aca="false">IF(E123="MUS",H123/F123,"")</f>
        <v>0</v>
      </c>
    </row>
    <row r="124" customFormat="false" ht="15" hidden="false" customHeight="false" outlineLevel="0" collapsed="false">
      <c r="A124" s="5" t="s">
        <v>385</v>
      </c>
      <c r="B124" s="5" t="s">
        <v>154</v>
      </c>
      <c r="C124" s="5" t="s">
        <v>166</v>
      </c>
      <c r="D124" s="5" t="s">
        <v>386</v>
      </c>
      <c r="E124" s="5" t="s">
        <v>160</v>
      </c>
      <c r="F124" s="16" t="n">
        <v>1509.977</v>
      </c>
      <c r="G124" s="16" t="n">
        <v>1509.977</v>
      </c>
      <c r="H124" s="17" t="n">
        <f aca="false">F124-G124</f>
        <v>0</v>
      </c>
      <c r="I124" s="18" t="n">
        <f aca="false">IF(E124="MUS",H124/F124,"")</f>
        <v>0</v>
      </c>
    </row>
    <row r="125" customFormat="false" ht="15" hidden="false" customHeight="false" outlineLevel="0" collapsed="false">
      <c r="A125" s="5" t="s">
        <v>387</v>
      </c>
      <c r="B125" s="5" t="s">
        <v>154</v>
      </c>
      <c r="C125" s="5" t="s">
        <v>226</v>
      </c>
      <c r="D125" s="5" t="s">
        <v>388</v>
      </c>
      <c r="E125" s="5" t="s">
        <v>160</v>
      </c>
      <c r="F125" s="16" t="n">
        <v>16527.978</v>
      </c>
      <c r="G125" s="16" t="n">
        <v>16527.978</v>
      </c>
      <c r="H125" s="17" t="n">
        <f aca="false">F125-G125</f>
        <v>0</v>
      </c>
      <c r="I125" s="18" t="n">
        <f aca="false">IF(E125="MUS",H125/F125,"")</f>
        <v>0</v>
      </c>
    </row>
    <row r="126" customFormat="false" ht="15" hidden="false" customHeight="false" outlineLevel="0" collapsed="false">
      <c r="A126" s="5" t="s">
        <v>389</v>
      </c>
      <c r="B126" s="5" t="s">
        <v>154</v>
      </c>
      <c r="C126" s="5" t="s">
        <v>174</v>
      </c>
      <c r="D126" s="5" t="s">
        <v>390</v>
      </c>
      <c r="E126" s="5" t="s">
        <v>160</v>
      </c>
      <c r="F126" s="16" t="n">
        <v>277.89</v>
      </c>
      <c r="G126" s="16" t="n">
        <v>277.89</v>
      </c>
      <c r="H126" s="17" t="n">
        <f aca="false">F126-G126</f>
        <v>0</v>
      </c>
      <c r="I126" s="18" t="n">
        <f aca="false">IF(E126="MUS",H126/F126,"")</f>
        <v>0</v>
      </c>
    </row>
    <row r="127" customFormat="false" ht="15" hidden="false" customHeight="false" outlineLevel="0" collapsed="false">
      <c r="A127" s="5" t="s">
        <v>391</v>
      </c>
      <c r="B127" s="5" t="s">
        <v>154</v>
      </c>
      <c r="C127" s="5" t="s">
        <v>166</v>
      </c>
      <c r="D127" s="5" t="s">
        <v>392</v>
      </c>
      <c r="E127" s="5" t="s">
        <v>160</v>
      </c>
      <c r="F127" s="16" t="n">
        <v>541.612</v>
      </c>
      <c r="G127" s="16" t="n">
        <v>541.612</v>
      </c>
      <c r="H127" s="17" t="n">
        <f aca="false">F127-G127</f>
        <v>0</v>
      </c>
      <c r="I127" s="18" t="n">
        <f aca="false">IF(E127="MUS",H127/F127,"")</f>
        <v>0</v>
      </c>
    </row>
    <row r="128" customFormat="false" ht="15" hidden="false" customHeight="false" outlineLevel="0" collapsed="false">
      <c r="A128" s="5" t="s">
        <v>393</v>
      </c>
      <c r="B128" s="5" t="s">
        <v>154</v>
      </c>
      <c r="C128" s="5" t="s">
        <v>174</v>
      </c>
      <c r="D128" s="5" t="s">
        <v>394</v>
      </c>
      <c r="E128" s="5" t="s">
        <v>160</v>
      </c>
      <c r="F128" s="16" t="n">
        <v>685.193</v>
      </c>
      <c r="G128" s="16" t="n">
        <v>685.193</v>
      </c>
      <c r="H128" s="17" t="n">
        <f aca="false">F128-G128</f>
        <v>0</v>
      </c>
      <c r="I128" s="18" t="n">
        <f aca="false">IF(E128="MUS",H128/F128,"")</f>
        <v>0</v>
      </c>
    </row>
    <row r="129" customFormat="false" ht="15" hidden="false" customHeight="false" outlineLevel="0" collapsed="false">
      <c r="A129" s="5" t="s">
        <v>395</v>
      </c>
      <c r="B129" s="5" t="s">
        <v>154</v>
      </c>
      <c r="C129" s="5" t="s">
        <v>171</v>
      </c>
      <c r="D129" s="5" t="s">
        <v>199</v>
      </c>
      <c r="E129" s="5" t="s">
        <v>160</v>
      </c>
      <c r="F129" s="16" t="n">
        <v>813.711</v>
      </c>
      <c r="G129" s="16" t="n">
        <v>813.711</v>
      </c>
      <c r="H129" s="17" t="n">
        <f aca="false">F129-G129</f>
        <v>0</v>
      </c>
      <c r="I129" s="18" t="n">
        <f aca="false">IF(E129="MUS",H129/F129,"")</f>
        <v>0</v>
      </c>
    </row>
    <row r="130" customFormat="false" ht="15" hidden="false" customHeight="false" outlineLevel="0" collapsed="false">
      <c r="A130" s="5" t="s">
        <v>396</v>
      </c>
      <c r="B130" s="5" t="s">
        <v>154</v>
      </c>
      <c r="C130" s="5" t="s">
        <v>155</v>
      </c>
      <c r="D130" s="5" t="s">
        <v>397</v>
      </c>
      <c r="E130" s="5" t="s">
        <v>160</v>
      </c>
      <c r="F130" s="16" t="n">
        <v>12969.075</v>
      </c>
      <c r="G130" s="16" t="n">
        <v>12969.075</v>
      </c>
      <c r="H130" s="17" t="n">
        <f aca="false">F130-G130</f>
        <v>0</v>
      </c>
      <c r="I130" s="18" t="n">
        <f aca="false">IF(E130="MUS",H130/F130,"")</f>
        <v>0</v>
      </c>
    </row>
    <row r="131" customFormat="false" ht="15" hidden="false" customHeight="false" outlineLevel="0" collapsed="false">
      <c r="A131" s="5" t="s">
        <v>398</v>
      </c>
      <c r="B131" s="5" t="s">
        <v>154</v>
      </c>
      <c r="C131" s="5" t="s">
        <v>174</v>
      </c>
      <c r="D131" s="5" t="s">
        <v>238</v>
      </c>
      <c r="E131" s="5" t="s">
        <v>160</v>
      </c>
      <c r="F131" s="16" t="n">
        <v>136.274</v>
      </c>
      <c r="G131" s="16" t="n">
        <v>136.274</v>
      </c>
      <c r="H131" s="17" t="n">
        <f aca="false">F131-G131</f>
        <v>0</v>
      </c>
      <c r="I131" s="18" t="n">
        <f aca="false">IF(E131="MUS",H131/F131,"")</f>
        <v>0</v>
      </c>
    </row>
    <row r="132" customFormat="false" ht="15" hidden="false" customHeight="false" outlineLevel="0" collapsed="false">
      <c r="A132" s="5" t="s">
        <v>399</v>
      </c>
      <c r="B132" s="5" t="s">
        <v>154</v>
      </c>
      <c r="C132" s="5" t="s">
        <v>226</v>
      </c>
      <c r="D132" s="5" t="s">
        <v>400</v>
      </c>
      <c r="E132" s="5" t="s">
        <v>160</v>
      </c>
      <c r="F132" s="16" t="n">
        <v>5230.474</v>
      </c>
      <c r="G132" s="16" t="n">
        <v>5230.474</v>
      </c>
      <c r="H132" s="17" t="n">
        <f aca="false">F132-G132</f>
        <v>0</v>
      </c>
      <c r="I132" s="18" t="n">
        <f aca="false">IF(E132="MUS",H132/F132,"")</f>
        <v>0</v>
      </c>
    </row>
    <row r="133" customFormat="false" ht="15" hidden="false" customHeight="false" outlineLevel="0" collapsed="false">
      <c r="A133" s="5" t="s">
        <v>401</v>
      </c>
      <c r="B133" s="5" t="s">
        <v>154</v>
      </c>
      <c r="C133" s="5" t="s">
        <v>166</v>
      </c>
      <c r="D133" s="5" t="s">
        <v>402</v>
      </c>
      <c r="E133" s="5" t="s">
        <v>160</v>
      </c>
      <c r="F133" s="16" t="n">
        <v>3543.434</v>
      </c>
      <c r="G133" s="16" t="n">
        <v>3543.434</v>
      </c>
      <c r="H133" s="17" t="n">
        <f aca="false">F133-G133</f>
        <v>0</v>
      </c>
      <c r="I133" s="18" t="n">
        <f aca="false">IF(E133="MUS",H133/F133,"")</f>
        <v>0</v>
      </c>
    </row>
    <row r="134" customFormat="false" ht="15" hidden="false" customHeight="false" outlineLevel="0" collapsed="false">
      <c r="A134" s="5" t="s">
        <v>403</v>
      </c>
      <c r="B134" s="5" t="s">
        <v>154</v>
      </c>
      <c r="C134" s="5" t="s">
        <v>171</v>
      </c>
      <c r="D134" s="5" t="s">
        <v>288</v>
      </c>
      <c r="E134" s="5" t="s">
        <v>160</v>
      </c>
      <c r="F134" s="16" t="n">
        <v>451.402</v>
      </c>
      <c r="G134" s="16" t="n">
        <v>451.402</v>
      </c>
      <c r="H134" s="17" t="n">
        <f aca="false">F134-G134</f>
        <v>0</v>
      </c>
      <c r="I134" s="18" t="n">
        <f aca="false">IF(E134="MUS",H134/F134,"")</f>
        <v>0</v>
      </c>
    </row>
    <row r="135" customFormat="false" ht="15" hidden="false" customHeight="false" outlineLevel="0" collapsed="false">
      <c r="A135" s="5" t="s">
        <v>404</v>
      </c>
      <c r="B135" s="5" t="s">
        <v>154</v>
      </c>
      <c r="C135" s="5" t="s">
        <v>171</v>
      </c>
      <c r="D135" s="5" t="s">
        <v>405</v>
      </c>
      <c r="E135" s="5" t="s">
        <v>160</v>
      </c>
      <c r="F135" s="16" t="n">
        <v>1458.823</v>
      </c>
      <c r="G135" s="16" t="n">
        <v>1458.823</v>
      </c>
      <c r="H135" s="17" t="n">
        <f aca="false">F135-G135</f>
        <v>0</v>
      </c>
      <c r="I135" s="18" t="n">
        <f aca="false">IF(E135="MUS",H135/F135,"")</f>
        <v>0</v>
      </c>
    </row>
    <row r="136" customFormat="false" ht="15" hidden="false" customHeight="false" outlineLevel="0" collapsed="false">
      <c r="A136" s="5" t="s">
        <v>406</v>
      </c>
      <c r="B136" s="5" t="s">
        <v>154</v>
      </c>
      <c r="C136" s="5" t="s">
        <v>171</v>
      </c>
      <c r="D136" s="5" t="s">
        <v>407</v>
      </c>
      <c r="E136" s="5" t="s">
        <v>160</v>
      </c>
      <c r="F136" s="16" t="n">
        <v>178.677</v>
      </c>
      <c r="G136" s="16" t="n">
        <v>178.677</v>
      </c>
      <c r="H136" s="17" t="n">
        <f aca="false">F136-G136</f>
        <v>0</v>
      </c>
      <c r="I136" s="18" t="n">
        <f aca="false">IF(E136="MUS",H136/F136,"")</f>
        <v>0</v>
      </c>
    </row>
    <row r="137" customFormat="false" ht="15" hidden="false" customHeight="false" outlineLevel="0" collapsed="false">
      <c r="A137" s="5" t="s">
        <v>408</v>
      </c>
      <c r="B137" s="5" t="s">
        <v>154</v>
      </c>
      <c r="C137" s="5" t="s">
        <v>177</v>
      </c>
      <c r="D137" s="5" t="s">
        <v>409</v>
      </c>
      <c r="E137" s="5" t="s">
        <v>160</v>
      </c>
      <c r="F137" s="16" t="n">
        <v>64.164</v>
      </c>
      <c r="G137" s="16" t="n">
        <v>64.164</v>
      </c>
      <c r="H137" s="17" t="n">
        <f aca="false">F137-G137</f>
        <v>0</v>
      </c>
      <c r="I137" s="18" t="n">
        <f aca="false">IF(E137="MUS",H137/F137,"")</f>
        <v>0</v>
      </c>
    </row>
    <row r="138" customFormat="false" ht="15" hidden="false" customHeight="false" outlineLevel="0" collapsed="false">
      <c r="A138" s="5" t="s">
        <v>410</v>
      </c>
      <c r="B138" s="5" t="s">
        <v>154</v>
      </c>
      <c r="C138" s="5" t="s">
        <v>177</v>
      </c>
      <c r="D138" s="5" t="s">
        <v>224</v>
      </c>
      <c r="E138" s="5" t="s">
        <v>160</v>
      </c>
      <c r="F138" s="16" t="n">
        <v>134.618</v>
      </c>
      <c r="G138" s="16" t="n">
        <v>134.618</v>
      </c>
      <c r="H138" s="17" t="n">
        <f aca="false">F138-G138</f>
        <v>0</v>
      </c>
      <c r="I138" s="18" t="n">
        <f aca="false">IF(E138="MUS",H138/F138,"")</f>
        <v>0</v>
      </c>
    </row>
    <row r="139" customFormat="false" ht="15" hidden="false" customHeight="false" outlineLevel="0" collapsed="false">
      <c r="A139" s="5" t="s">
        <v>411</v>
      </c>
      <c r="B139" s="5" t="s">
        <v>154</v>
      </c>
      <c r="C139" s="5" t="s">
        <v>155</v>
      </c>
      <c r="D139" s="5" t="s">
        <v>383</v>
      </c>
      <c r="E139" s="5" t="s">
        <v>160</v>
      </c>
      <c r="F139" s="16" t="n">
        <v>17574.498</v>
      </c>
      <c r="G139" s="16" t="n">
        <v>17574.498</v>
      </c>
      <c r="H139" s="17" t="n">
        <f aca="false">F139-G139</f>
        <v>0</v>
      </c>
      <c r="I139" s="18" t="n">
        <f aca="false">IF(E139="MUS",H139/F139,"")</f>
        <v>0</v>
      </c>
    </row>
    <row r="140" customFormat="false" ht="15" hidden="false" customHeight="false" outlineLevel="0" collapsed="false">
      <c r="A140" s="5" t="s">
        <v>412</v>
      </c>
      <c r="B140" s="5" t="s">
        <v>154</v>
      </c>
      <c r="C140" s="5" t="s">
        <v>171</v>
      </c>
      <c r="D140" s="5" t="s">
        <v>413</v>
      </c>
      <c r="E140" s="5" t="s">
        <v>160</v>
      </c>
      <c r="F140" s="16" t="n">
        <v>3642.893</v>
      </c>
      <c r="G140" s="16" t="n">
        <v>3642.893</v>
      </c>
      <c r="H140" s="17" t="n">
        <f aca="false">F140-G140</f>
        <v>0</v>
      </c>
      <c r="I140" s="18" t="n">
        <f aca="false">IF(E140="MUS",H140/F140,"")</f>
        <v>0</v>
      </c>
    </row>
    <row r="141" customFormat="false" ht="15" hidden="false" customHeight="false" outlineLevel="0" collapsed="false">
      <c r="A141" s="5" t="s">
        <v>414</v>
      </c>
      <c r="B141" s="5" t="s">
        <v>154</v>
      </c>
      <c r="C141" s="5" t="s">
        <v>155</v>
      </c>
      <c r="D141" s="5" t="s">
        <v>191</v>
      </c>
      <c r="E141" s="5" t="s">
        <v>160</v>
      </c>
      <c r="F141" s="16" t="n">
        <v>68004.738</v>
      </c>
      <c r="G141" s="16" t="n">
        <v>68004.738</v>
      </c>
      <c r="H141" s="17" t="n">
        <f aca="false">F141-G141</f>
        <v>0</v>
      </c>
      <c r="I141" s="18" t="n">
        <f aca="false">IF(E141="MUS",H141/F141,"")</f>
        <v>0</v>
      </c>
    </row>
    <row r="142" customFormat="false" ht="15" hidden="false" customHeight="false" outlineLevel="0" collapsed="false">
      <c r="A142" s="5" t="s">
        <v>415</v>
      </c>
      <c r="B142" s="5" t="s">
        <v>154</v>
      </c>
      <c r="C142" s="5" t="s">
        <v>171</v>
      </c>
      <c r="D142" s="5" t="s">
        <v>199</v>
      </c>
      <c r="E142" s="5" t="s">
        <v>160</v>
      </c>
      <c r="F142" s="16" t="n">
        <v>644.167</v>
      </c>
      <c r="G142" s="16" t="n">
        <v>644.167</v>
      </c>
      <c r="H142" s="17" t="n">
        <f aca="false">F142-G142</f>
        <v>0</v>
      </c>
      <c r="I142" s="18" t="n">
        <f aca="false">IF(E142="MUS",H142/F142,"")</f>
        <v>0</v>
      </c>
    </row>
    <row r="143" customFormat="false" ht="15" hidden="false" customHeight="false" outlineLevel="0" collapsed="false">
      <c r="A143" s="5" t="s">
        <v>416</v>
      </c>
      <c r="B143" s="5" t="s">
        <v>154</v>
      </c>
      <c r="C143" s="5" t="s">
        <v>226</v>
      </c>
      <c r="D143" s="5" t="s">
        <v>417</v>
      </c>
      <c r="E143" s="5" t="s">
        <v>160</v>
      </c>
      <c r="F143" s="16" t="n">
        <v>30632.243</v>
      </c>
      <c r="G143" s="16" t="n">
        <v>30632.243</v>
      </c>
      <c r="H143" s="17" t="n">
        <f aca="false">F143-G143</f>
        <v>0</v>
      </c>
      <c r="I143" s="18" t="n">
        <f aca="false">IF(E143="MUS",H143/F143,"")</f>
        <v>0</v>
      </c>
    </row>
    <row r="144" customFormat="false" ht="15" hidden="false" customHeight="false" outlineLevel="0" collapsed="false">
      <c r="A144" s="5" t="s">
        <v>418</v>
      </c>
      <c r="B144" s="5" t="s">
        <v>154</v>
      </c>
      <c r="C144" s="5" t="s">
        <v>419</v>
      </c>
      <c r="D144" s="5" t="s">
        <v>182</v>
      </c>
      <c r="E144" s="5" t="s">
        <v>160</v>
      </c>
      <c r="F144" s="16" t="n">
        <v>0.892</v>
      </c>
      <c r="G144" s="16" t="n">
        <v>0.892</v>
      </c>
      <c r="H144" s="17" t="n">
        <f aca="false">F144-G144</f>
        <v>0</v>
      </c>
      <c r="I144" s="18" t="n">
        <f aca="false">IF(E144="MUS",H144/F144,"")</f>
        <v>0</v>
      </c>
    </row>
    <row r="145" customFormat="false" ht="15" hidden="false" customHeight="false" outlineLevel="0" collapsed="false">
      <c r="A145" s="5" t="s">
        <v>420</v>
      </c>
      <c r="B145" s="5" t="s">
        <v>211</v>
      </c>
      <c r="C145" s="5" t="s">
        <v>212</v>
      </c>
      <c r="D145" s="5" t="s">
        <v>213</v>
      </c>
      <c r="E145" s="5" t="s">
        <v>160</v>
      </c>
      <c r="F145" s="16" t="n">
        <v>29.442</v>
      </c>
      <c r="G145" s="16" t="n">
        <v>29.442</v>
      </c>
      <c r="H145" s="17" t="n">
        <f aca="false">F145-G145</f>
        <v>0</v>
      </c>
      <c r="I145" s="18" t="n">
        <f aca="false">IF(E145="MUS",H145/F145,"")</f>
        <v>0</v>
      </c>
    </row>
    <row r="146" customFormat="false" ht="15" hidden="false" customHeight="false" outlineLevel="0" collapsed="false">
      <c r="A146" s="5" t="s">
        <v>421</v>
      </c>
      <c r="B146" s="5" t="s">
        <v>154</v>
      </c>
      <c r="C146" s="5" t="s">
        <v>190</v>
      </c>
      <c r="D146" s="5" t="s">
        <v>422</v>
      </c>
      <c r="E146" s="5" t="s">
        <v>160</v>
      </c>
      <c r="F146" s="16" t="n">
        <v>1694.929</v>
      </c>
      <c r="G146" s="16" t="n">
        <v>1694.929</v>
      </c>
      <c r="H146" s="17" t="n">
        <f aca="false">F146-G146</f>
        <v>0</v>
      </c>
      <c r="I146" s="18" t="n">
        <f aca="false">IF(E146="MUS",H146/F146,"")</f>
        <v>0</v>
      </c>
    </row>
    <row r="147" customFormat="false" ht="15" hidden="false" customHeight="false" outlineLevel="0" collapsed="false">
      <c r="A147" s="5" t="s">
        <v>423</v>
      </c>
      <c r="B147" s="5" t="s">
        <v>154</v>
      </c>
      <c r="C147" s="5" t="s">
        <v>171</v>
      </c>
      <c r="D147" s="5" t="s">
        <v>424</v>
      </c>
      <c r="E147" s="5" t="s">
        <v>160</v>
      </c>
      <c r="F147" s="16" t="n">
        <v>864.331</v>
      </c>
      <c r="G147" s="16" t="n">
        <v>864.331</v>
      </c>
      <c r="H147" s="17" t="n">
        <f aca="false">F147-G147</f>
        <v>0</v>
      </c>
      <c r="I147" s="18" t="n">
        <f aca="false">IF(E147="MUS",H147/F147,"")</f>
        <v>0</v>
      </c>
    </row>
    <row r="148" customFormat="false" ht="15" hidden="false" customHeight="false" outlineLevel="0" collapsed="false">
      <c r="A148" s="5" t="s">
        <v>425</v>
      </c>
      <c r="B148" s="5" t="s">
        <v>154</v>
      </c>
      <c r="C148" s="5" t="s">
        <v>155</v>
      </c>
      <c r="D148" s="5" t="s">
        <v>188</v>
      </c>
      <c r="E148" s="5" t="s">
        <v>160</v>
      </c>
      <c r="F148" s="16" t="n">
        <v>6796.476</v>
      </c>
      <c r="G148" s="16" t="n">
        <v>6796.476</v>
      </c>
      <c r="H148" s="17" t="n">
        <f aca="false">F148-G148</f>
        <v>0</v>
      </c>
      <c r="I148" s="18" t="n">
        <f aca="false">IF(E148="MUS",H148/F148,"")</f>
        <v>0</v>
      </c>
    </row>
    <row r="149" customFormat="false" ht="15" hidden="false" customHeight="false" outlineLevel="0" collapsed="false">
      <c r="A149" s="5" t="s">
        <v>426</v>
      </c>
      <c r="B149" s="5" t="s">
        <v>154</v>
      </c>
      <c r="C149" s="5" t="s">
        <v>174</v>
      </c>
      <c r="D149" s="5" t="s">
        <v>427</v>
      </c>
      <c r="E149" s="5" t="s">
        <v>160</v>
      </c>
      <c r="F149" s="16" t="n">
        <v>332.456</v>
      </c>
      <c r="G149" s="16" t="n">
        <v>332.456</v>
      </c>
      <c r="H149" s="17" t="n">
        <f aca="false">F149-G149</f>
        <v>0</v>
      </c>
      <c r="I149" s="18" t="n">
        <f aca="false">IF(E149="MUS",H149/F149,"")</f>
        <v>0</v>
      </c>
    </row>
    <row r="150" customFormat="false" ht="15" hidden="false" customHeight="false" outlineLevel="0" collapsed="false">
      <c r="A150" s="5" t="s">
        <v>428</v>
      </c>
      <c r="B150" s="5" t="s">
        <v>154</v>
      </c>
      <c r="C150" s="5" t="s">
        <v>174</v>
      </c>
      <c r="D150" s="5" t="s">
        <v>429</v>
      </c>
      <c r="E150" s="5" t="s">
        <v>160</v>
      </c>
      <c r="F150" s="16" t="n">
        <v>112.96</v>
      </c>
      <c r="G150" s="16" t="n">
        <v>112.96</v>
      </c>
      <c r="H150" s="17" t="n">
        <f aca="false">F150-G150</f>
        <v>0</v>
      </c>
      <c r="I150" s="18" t="n">
        <f aca="false">IF(E150="MUS",H150/F150,"")</f>
        <v>0</v>
      </c>
    </row>
    <row r="151" customFormat="false" ht="15" hidden="false" customHeight="false" outlineLevel="0" collapsed="false">
      <c r="A151" s="5" t="s">
        <v>430</v>
      </c>
      <c r="B151" s="5" t="s">
        <v>154</v>
      </c>
      <c r="C151" s="5" t="s">
        <v>171</v>
      </c>
      <c r="D151" s="5" t="s">
        <v>230</v>
      </c>
      <c r="E151" s="5" t="s">
        <v>160</v>
      </c>
      <c r="F151" s="16" t="n">
        <v>3852.304</v>
      </c>
      <c r="G151" s="16" t="n">
        <v>3852.304</v>
      </c>
      <c r="H151" s="17" t="n">
        <f aca="false">F151-G151</f>
        <v>0</v>
      </c>
      <c r="I151" s="18" t="n">
        <f aca="false">IF(E151="MUS",H151/F151,"")</f>
        <v>0</v>
      </c>
    </row>
    <row r="152" customFormat="false" ht="15" hidden="false" customHeight="false" outlineLevel="0" collapsed="false">
      <c r="A152" s="5" t="s">
        <v>431</v>
      </c>
      <c r="B152" s="5" t="s">
        <v>432</v>
      </c>
      <c r="C152" s="5" t="s">
        <v>433</v>
      </c>
      <c r="D152" s="5" t="s">
        <v>213</v>
      </c>
      <c r="E152" s="5" t="s">
        <v>160</v>
      </c>
      <c r="F152" s="16" t="n">
        <v>207.753</v>
      </c>
      <c r="G152" s="16" t="n">
        <v>207.753</v>
      </c>
      <c r="H152" s="17" t="n">
        <f aca="false">F152-G152</f>
        <v>0</v>
      </c>
      <c r="I152" s="18" t="n">
        <f aca="false">IF(E152="MUS",H152/F152,"")</f>
        <v>0</v>
      </c>
    </row>
    <row r="153" customFormat="false" ht="15" hidden="false" customHeight="false" outlineLevel="0" collapsed="false">
      <c r="A153" s="5" t="s">
        <v>434</v>
      </c>
      <c r="B153" s="5" t="s">
        <v>154</v>
      </c>
      <c r="C153" s="5" t="s">
        <v>155</v>
      </c>
      <c r="D153" s="5" t="s">
        <v>417</v>
      </c>
      <c r="E153" s="5" t="s">
        <v>160</v>
      </c>
      <c r="F153" s="16" t="n">
        <v>69259.413</v>
      </c>
      <c r="G153" s="16" t="n">
        <v>69259.413</v>
      </c>
      <c r="H153" s="17" t="n">
        <f aca="false">F153-G153</f>
        <v>0</v>
      </c>
      <c r="I153" s="18" t="n">
        <f aca="false">IF(E153="MUS",H153/F153,"")</f>
        <v>0</v>
      </c>
    </row>
    <row r="154" customFormat="false" ht="15" hidden="false" customHeight="false" outlineLevel="0" collapsed="false">
      <c r="A154" s="5" t="s">
        <v>435</v>
      </c>
      <c r="B154" s="5" t="s">
        <v>154</v>
      </c>
      <c r="C154" s="5" t="s">
        <v>166</v>
      </c>
      <c r="D154" s="5" t="s">
        <v>436</v>
      </c>
      <c r="E154" s="5" t="s">
        <v>160</v>
      </c>
      <c r="F154" s="16" t="n">
        <v>1632.855</v>
      </c>
      <c r="G154" s="16" t="n">
        <v>1632.855</v>
      </c>
      <c r="H154" s="17" t="n">
        <f aca="false">F154-G154</f>
        <v>0</v>
      </c>
      <c r="I154" s="18" t="n">
        <f aca="false">IF(E154="MUS",H154/F154,"")</f>
        <v>0</v>
      </c>
    </row>
    <row r="155" customFormat="false" ht="15" hidden="false" customHeight="false" outlineLevel="0" collapsed="false">
      <c r="A155" s="5" t="s">
        <v>437</v>
      </c>
      <c r="B155" s="5" t="s">
        <v>432</v>
      </c>
      <c r="C155" s="5" t="s">
        <v>433</v>
      </c>
      <c r="D155" s="5" t="s">
        <v>213</v>
      </c>
      <c r="E155" s="5" t="s">
        <v>160</v>
      </c>
      <c r="F155" s="16" t="n">
        <v>373.443</v>
      </c>
      <c r="G155" s="16" t="n">
        <v>373.443</v>
      </c>
      <c r="H155" s="17" t="n">
        <f aca="false">F155-G155</f>
        <v>0</v>
      </c>
      <c r="I155" s="18" t="n">
        <f aca="false">IF(E155="MUS",H155/F155,"")</f>
        <v>0</v>
      </c>
    </row>
    <row r="156" customFormat="false" ht="15" hidden="false" customHeight="false" outlineLevel="0" collapsed="false">
      <c r="A156" s="5" t="s">
        <v>438</v>
      </c>
      <c r="B156" s="5" t="s">
        <v>154</v>
      </c>
      <c r="C156" s="5" t="s">
        <v>166</v>
      </c>
      <c r="D156" s="5" t="s">
        <v>439</v>
      </c>
      <c r="E156" s="5" t="s">
        <v>160</v>
      </c>
      <c r="F156" s="16" t="n">
        <v>738.589</v>
      </c>
      <c r="G156" s="16" t="n">
        <v>738.589</v>
      </c>
      <c r="H156" s="17" t="n">
        <f aca="false">F156-G156</f>
        <v>0</v>
      </c>
      <c r="I156" s="18" t="n">
        <f aca="false">IF(E156="MUS",H156/F156,"")</f>
        <v>0</v>
      </c>
    </row>
    <row r="157" customFormat="false" ht="15" hidden="false" customHeight="false" outlineLevel="0" collapsed="false">
      <c r="A157" s="5" t="s">
        <v>440</v>
      </c>
      <c r="B157" s="5" t="s">
        <v>154</v>
      </c>
      <c r="C157" s="5" t="s">
        <v>226</v>
      </c>
      <c r="D157" s="5" t="s">
        <v>381</v>
      </c>
      <c r="E157" s="5" t="s">
        <v>160</v>
      </c>
      <c r="F157" s="16" t="n">
        <v>21137.702</v>
      </c>
      <c r="G157" s="16" t="n">
        <v>21137.702</v>
      </c>
      <c r="H157" s="17" t="n">
        <f aca="false">F157-G157</f>
        <v>0</v>
      </c>
      <c r="I157" s="18" t="n">
        <f aca="false">IF(E157="MUS",H157/F157,"")</f>
        <v>0</v>
      </c>
    </row>
    <row r="158" customFormat="false" ht="15" hidden="false" customHeight="false" outlineLevel="0" collapsed="false">
      <c r="A158" s="5" t="s">
        <v>441</v>
      </c>
      <c r="B158" s="5" t="s">
        <v>154</v>
      </c>
      <c r="C158" s="5" t="s">
        <v>226</v>
      </c>
      <c r="D158" s="5" t="s">
        <v>442</v>
      </c>
      <c r="E158" s="5" t="s">
        <v>160</v>
      </c>
      <c r="F158" s="16" t="n">
        <v>16097.295</v>
      </c>
      <c r="G158" s="16" t="n">
        <v>16097.295</v>
      </c>
      <c r="H158" s="17" t="n">
        <f aca="false">F158-G158</f>
        <v>0</v>
      </c>
      <c r="I158" s="18" t="n">
        <f aca="false">IF(E158="MUS",H158/F158,"")</f>
        <v>0</v>
      </c>
    </row>
    <row r="159" customFormat="false" ht="15" hidden="false" customHeight="false" outlineLevel="0" collapsed="false">
      <c r="A159" s="5" t="s">
        <v>443</v>
      </c>
      <c r="B159" s="5" t="s">
        <v>154</v>
      </c>
      <c r="C159" s="5" t="s">
        <v>174</v>
      </c>
      <c r="D159" s="5" t="s">
        <v>271</v>
      </c>
      <c r="E159" s="5" t="s">
        <v>160</v>
      </c>
      <c r="F159" s="16" t="n">
        <v>65.755</v>
      </c>
      <c r="G159" s="16" t="n">
        <v>65.755</v>
      </c>
      <c r="H159" s="17" t="n">
        <f aca="false">F159-G159</f>
        <v>0</v>
      </c>
      <c r="I159" s="18" t="n">
        <f aca="false">IF(E159="MUS",H159/F159,"")</f>
        <v>0</v>
      </c>
    </row>
    <row r="160" customFormat="false" ht="15" hidden="false" customHeight="false" outlineLevel="0" collapsed="false">
      <c r="A160" s="5" t="s">
        <v>444</v>
      </c>
      <c r="B160" s="5" t="s">
        <v>154</v>
      </c>
      <c r="C160" s="5" t="s">
        <v>166</v>
      </c>
      <c r="D160" s="5" t="s">
        <v>445</v>
      </c>
      <c r="E160" s="5" t="s">
        <v>160</v>
      </c>
      <c r="F160" s="16" t="n">
        <v>1116.479</v>
      </c>
      <c r="G160" s="16" t="n">
        <v>1116.479</v>
      </c>
      <c r="H160" s="17" t="n">
        <f aca="false">F160-G160</f>
        <v>0</v>
      </c>
      <c r="I160" s="18" t="n">
        <f aca="false">IF(E160="MUS",H160/F160,"")</f>
        <v>0</v>
      </c>
    </row>
    <row r="161" customFormat="false" ht="15" hidden="false" customHeight="false" outlineLevel="0" collapsed="false">
      <c r="A161" s="5" t="s">
        <v>446</v>
      </c>
      <c r="B161" s="5" t="s">
        <v>154</v>
      </c>
      <c r="C161" s="5" t="s">
        <v>190</v>
      </c>
      <c r="D161" s="5" t="s">
        <v>447</v>
      </c>
      <c r="E161" s="5" t="s">
        <v>160</v>
      </c>
      <c r="F161" s="16" t="n">
        <v>995.235</v>
      </c>
      <c r="G161" s="16" t="n">
        <v>995.235</v>
      </c>
      <c r="H161" s="17" t="n">
        <f aca="false">F161-G161</f>
        <v>0</v>
      </c>
      <c r="I161" s="18" t="n">
        <f aca="false">IF(E161="MUS",H161/F161,"")</f>
        <v>0</v>
      </c>
    </row>
    <row r="162" customFormat="false" ht="15" hidden="false" customHeight="false" outlineLevel="0" collapsed="false">
      <c r="A162" s="5" t="s">
        <v>448</v>
      </c>
      <c r="B162" s="5" t="s">
        <v>154</v>
      </c>
      <c r="C162" s="5" t="s">
        <v>171</v>
      </c>
      <c r="D162" s="5" t="s">
        <v>314</v>
      </c>
      <c r="E162" s="5" t="s">
        <v>160</v>
      </c>
      <c r="F162" s="16" t="n">
        <v>2607.154</v>
      </c>
      <c r="G162" s="16" t="n">
        <v>2607.154</v>
      </c>
      <c r="H162" s="17" t="n">
        <f aca="false">F162-G162</f>
        <v>0</v>
      </c>
      <c r="I162" s="18" t="n">
        <f aca="false">IF(E162="MUS",H162/F162,"")</f>
        <v>0</v>
      </c>
    </row>
    <row r="163" customFormat="false" ht="15" hidden="false" customHeight="false" outlineLevel="0" collapsed="false">
      <c r="A163" s="5" t="s">
        <v>449</v>
      </c>
      <c r="B163" s="5" t="s">
        <v>154</v>
      </c>
      <c r="C163" s="5" t="s">
        <v>166</v>
      </c>
      <c r="D163" s="5" t="s">
        <v>450</v>
      </c>
      <c r="E163" s="5" t="s">
        <v>160</v>
      </c>
      <c r="F163" s="16" t="n">
        <v>424.336</v>
      </c>
      <c r="G163" s="16" t="n">
        <v>424.336</v>
      </c>
      <c r="H163" s="17" t="n">
        <f aca="false">F163-G163</f>
        <v>0</v>
      </c>
      <c r="I163" s="18" t="n">
        <f aca="false">IF(E163="MUS",H163/F163,"")</f>
        <v>0</v>
      </c>
    </row>
    <row r="164" customFormat="false" ht="15" hidden="false" customHeight="false" outlineLevel="0" collapsed="false">
      <c r="A164" s="5" t="s">
        <v>451</v>
      </c>
      <c r="B164" s="5" t="s">
        <v>154</v>
      </c>
      <c r="C164" s="5" t="s">
        <v>166</v>
      </c>
      <c r="D164" s="5" t="s">
        <v>452</v>
      </c>
      <c r="E164" s="5" t="s">
        <v>160</v>
      </c>
      <c r="F164" s="16" t="n">
        <v>2081.754</v>
      </c>
      <c r="G164" s="16" t="n">
        <v>2081.754</v>
      </c>
      <c r="H164" s="17" t="n">
        <f aca="false">F164-G164</f>
        <v>0</v>
      </c>
      <c r="I164" s="18" t="n">
        <f aca="false">IF(E164="MUS",H164/F164,"")</f>
        <v>0</v>
      </c>
    </row>
    <row r="165" customFormat="false" ht="15" hidden="false" customHeight="false" outlineLevel="0" collapsed="false">
      <c r="A165" s="5" t="s">
        <v>453</v>
      </c>
      <c r="B165" s="5" t="s">
        <v>154</v>
      </c>
      <c r="C165" s="5" t="s">
        <v>171</v>
      </c>
      <c r="D165" s="5" t="s">
        <v>454</v>
      </c>
      <c r="E165" s="5" t="s">
        <v>160</v>
      </c>
      <c r="F165" s="16" t="n">
        <v>36.232</v>
      </c>
      <c r="G165" s="16" t="n">
        <v>36.232</v>
      </c>
      <c r="H165" s="17" t="n">
        <f aca="false">F165-G165</f>
        <v>0</v>
      </c>
      <c r="I165" s="18" t="n">
        <f aca="false">IF(E165="MUS",H165/F165,"")</f>
        <v>0</v>
      </c>
    </row>
    <row r="166" customFormat="false" ht="15" hidden="false" customHeight="false" outlineLevel="0" collapsed="false">
      <c r="A166" s="5" t="s">
        <v>455</v>
      </c>
      <c r="B166" s="5" t="s">
        <v>154</v>
      </c>
      <c r="C166" s="5" t="s">
        <v>226</v>
      </c>
      <c r="D166" s="5" t="s">
        <v>456</v>
      </c>
      <c r="E166" s="5" t="s">
        <v>160</v>
      </c>
      <c r="F166" s="16" t="n">
        <v>109722.864</v>
      </c>
      <c r="G166" s="16" t="n">
        <v>109722.864</v>
      </c>
      <c r="H166" s="17" t="n">
        <f aca="false">F166-G166</f>
        <v>0</v>
      </c>
      <c r="I166" s="18" t="n">
        <f aca="false">IF(E166="MUS",H166/F166,"")</f>
        <v>0</v>
      </c>
    </row>
    <row r="167" customFormat="false" ht="15" hidden="false" customHeight="false" outlineLevel="0" collapsed="false">
      <c r="A167" s="5" t="s">
        <v>457</v>
      </c>
      <c r="B167" s="5" t="s">
        <v>154</v>
      </c>
      <c r="C167" s="5" t="s">
        <v>171</v>
      </c>
      <c r="D167" s="5" t="s">
        <v>347</v>
      </c>
      <c r="E167" s="5" t="s">
        <v>160</v>
      </c>
      <c r="F167" s="16" t="n">
        <v>192.066</v>
      </c>
      <c r="G167" s="16" t="n">
        <v>192.066</v>
      </c>
      <c r="H167" s="17" t="n">
        <f aca="false">F167-G167</f>
        <v>0</v>
      </c>
      <c r="I167" s="18" t="n">
        <f aca="false">IF(E167="MUS",H167/F167,"")</f>
        <v>0</v>
      </c>
    </row>
    <row r="168" customFormat="false" ht="15" hidden="false" customHeight="false" outlineLevel="0" collapsed="false">
      <c r="A168" s="5" t="s">
        <v>458</v>
      </c>
      <c r="B168" s="5" t="s">
        <v>211</v>
      </c>
      <c r="C168" s="5" t="s">
        <v>212</v>
      </c>
      <c r="D168" s="5" t="s">
        <v>213</v>
      </c>
      <c r="E168" s="5" t="s">
        <v>160</v>
      </c>
      <c r="F168" s="16" t="n">
        <v>152.743</v>
      </c>
      <c r="G168" s="16" t="n">
        <v>152.743</v>
      </c>
      <c r="H168" s="17" t="n">
        <f aca="false">F168-G168</f>
        <v>0</v>
      </c>
      <c r="I168" s="18" t="n">
        <f aca="false">IF(E168="MUS",H168/F168,"")</f>
        <v>0</v>
      </c>
    </row>
    <row r="169" customFormat="false" ht="15" hidden="false" customHeight="false" outlineLevel="0" collapsed="false">
      <c r="A169" s="5" t="s">
        <v>459</v>
      </c>
      <c r="B169" s="5" t="s">
        <v>154</v>
      </c>
      <c r="C169" s="5" t="s">
        <v>171</v>
      </c>
      <c r="D169" s="5" t="s">
        <v>424</v>
      </c>
      <c r="E169" s="5" t="s">
        <v>160</v>
      </c>
      <c r="F169" s="16" t="n">
        <v>2166.866</v>
      </c>
      <c r="G169" s="16" t="n">
        <v>2166.866</v>
      </c>
      <c r="H169" s="17" t="n">
        <f aca="false">F169-G169</f>
        <v>0</v>
      </c>
      <c r="I169" s="18" t="n">
        <f aca="false">IF(E169="MUS",H169/F169,"")</f>
        <v>0</v>
      </c>
    </row>
    <row r="170" customFormat="false" ht="15" hidden="false" customHeight="false" outlineLevel="0" collapsed="false">
      <c r="A170" s="5" t="s">
        <v>460</v>
      </c>
      <c r="B170" s="5" t="s">
        <v>154</v>
      </c>
      <c r="C170" s="5" t="s">
        <v>171</v>
      </c>
      <c r="D170" s="5" t="s">
        <v>356</v>
      </c>
      <c r="E170" s="5" t="s">
        <v>160</v>
      </c>
      <c r="F170" s="16" t="n">
        <v>1135.347</v>
      </c>
      <c r="G170" s="16" t="n">
        <v>1135.347</v>
      </c>
      <c r="H170" s="17" t="n">
        <f aca="false">F170-G170</f>
        <v>0</v>
      </c>
      <c r="I170" s="18" t="n">
        <f aca="false">IF(E170="MUS",H170/F170,"")</f>
        <v>0</v>
      </c>
    </row>
    <row r="171" customFormat="false" ht="15" hidden="false" customHeight="false" outlineLevel="0" collapsed="false">
      <c r="A171" s="5" t="s">
        <v>461</v>
      </c>
      <c r="B171" s="5" t="s">
        <v>154</v>
      </c>
      <c r="C171" s="5" t="s">
        <v>171</v>
      </c>
      <c r="D171" s="5" t="s">
        <v>462</v>
      </c>
      <c r="E171" s="5" t="s">
        <v>160</v>
      </c>
      <c r="F171" s="16" t="n">
        <v>5070.384</v>
      </c>
      <c r="G171" s="16" t="n">
        <v>5070.384</v>
      </c>
      <c r="H171" s="17" t="n">
        <f aca="false">F171-G171</f>
        <v>0</v>
      </c>
      <c r="I171" s="18" t="n">
        <f aca="false">IF(E171="MUS",H171/F171,"")</f>
        <v>0</v>
      </c>
    </row>
    <row r="172" customFormat="false" ht="15" hidden="false" customHeight="false" outlineLevel="0" collapsed="false">
      <c r="A172" s="5" t="s">
        <v>463</v>
      </c>
      <c r="B172" s="5" t="s">
        <v>154</v>
      </c>
      <c r="C172" s="5" t="s">
        <v>166</v>
      </c>
      <c r="D172" s="5" t="s">
        <v>295</v>
      </c>
      <c r="E172" s="5" t="s">
        <v>160</v>
      </c>
      <c r="F172" s="16" t="n">
        <v>249.554</v>
      </c>
      <c r="G172" s="16" t="n">
        <v>249.554</v>
      </c>
      <c r="H172" s="17" t="n">
        <f aca="false">F172-G172</f>
        <v>0</v>
      </c>
      <c r="I172" s="18" t="n">
        <f aca="false">IF(E172="MUS",H172/F172,"")</f>
        <v>0</v>
      </c>
    </row>
    <row r="173" customFormat="false" ht="15" hidden="false" customHeight="false" outlineLevel="0" collapsed="false">
      <c r="A173" s="5" t="s">
        <v>464</v>
      </c>
      <c r="B173" s="5" t="s">
        <v>154</v>
      </c>
      <c r="C173" s="5" t="s">
        <v>171</v>
      </c>
      <c r="D173" s="5" t="s">
        <v>465</v>
      </c>
      <c r="E173" s="5" t="s">
        <v>160</v>
      </c>
      <c r="F173" s="16" t="n">
        <v>100.522</v>
      </c>
      <c r="G173" s="16" t="n">
        <v>100.522</v>
      </c>
      <c r="H173" s="17" t="n">
        <f aca="false">F173-G173</f>
        <v>0</v>
      </c>
      <c r="I173" s="18" t="n">
        <f aca="false">IF(E173="MUS",H173/F173,"")</f>
        <v>0</v>
      </c>
    </row>
    <row r="174" customFormat="false" ht="15" hidden="false" customHeight="false" outlineLevel="0" collapsed="false">
      <c r="A174" s="5" t="s">
        <v>466</v>
      </c>
      <c r="B174" s="5" t="s">
        <v>154</v>
      </c>
      <c r="C174" s="5" t="s">
        <v>226</v>
      </c>
      <c r="D174" s="5" t="s">
        <v>248</v>
      </c>
      <c r="E174" s="5" t="s">
        <v>160</v>
      </c>
      <c r="F174" s="16" t="n">
        <v>29184.187</v>
      </c>
      <c r="G174" s="16" t="n">
        <v>29184.187</v>
      </c>
      <c r="H174" s="17" t="n">
        <f aca="false">F174-G174</f>
        <v>0</v>
      </c>
      <c r="I174" s="18" t="n">
        <f aca="false">IF(E174="MUS",H174/F174,"")</f>
        <v>0</v>
      </c>
    </row>
    <row r="175" customFormat="false" ht="15" hidden="false" customHeight="false" outlineLevel="0" collapsed="false">
      <c r="A175" s="5" t="s">
        <v>467</v>
      </c>
      <c r="B175" s="5" t="s">
        <v>154</v>
      </c>
      <c r="C175" s="5" t="s">
        <v>166</v>
      </c>
      <c r="D175" s="5" t="s">
        <v>468</v>
      </c>
      <c r="E175" s="5" t="s">
        <v>160</v>
      </c>
      <c r="F175" s="16" t="n">
        <v>436.866</v>
      </c>
      <c r="G175" s="16" t="n">
        <v>436.866</v>
      </c>
      <c r="H175" s="17" t="n">
        <f aca="false">F175-G175</f>
        <v>0</v>
      </c>
      <c r="I175" s="18" t="n">
        <f aca="false">IF(E175="MUS",H175/F175,"")</f>
        <v>0</v>
      </c>
    </row>
    <row r="176" customFormat="false" ht="15" hidden="false" customHeight="false" outlineLevel="0" collapsed="false">
      <c r="A176" s="5" t="s">
        <v>469</v>
      </c>
      <c r="B176" s="5" t="s">
        <v>154</v>
      </c>
      <c r="C176" s="5" t="s">
        <v>226</v>
      </c>
      <c r="D176" s="5" t="s">
        <v>470</v>
      </c>
      <c r="E176" s="5" t="s">
        <v>160</v>
      </c>
      <c r="F176" s="16" t="n">
        <v>38559.613</v>
      </c>
      <c r="G176" s="16" t="n">
        <v>38559.613</v>
      </c>
      <c r="H176" s="17" t="n">
        <f aca="false">F176-G176</f>
        <v>0</v>
      </c>
      <c r="I176" s="18" t="n">
        <f aca="false">IF(E176="MUS",H176/F176,"")</f>
        <v>0</v>
      </c>
    </row>
    <row r="177" customFormat="false" ht="15" hidden="false" customHeight="false" outlineLevel="0" collapsed="false">
      <c r="A177" s="5" t="s">
        <v>471</v>
      </c>
      <c r="B177" s="5" t="s">
        <v>154</v>
      </c>
      <c r="C177" s="5" t="s">
        <v>171</v>
      </c>
      <c r="D177" s="5" t="s">
        <v>169</v>
      </c>
      <c r="E177" s="5" t="s">
        <v>160</v>
      </c>
      <c r="F177" s="16" t="n">
        <v>2727.857</v>
      </c>
      <c r="G177" s="16" t="n">
        <v>2727.857</v>
      </c>
      <c r="H177" s="17" t="n">
        <f aca="false">F177-G177</f>
        <v>0</v>
      </c>
      <c r="I177" s="18" t="n">
        <f aca="false">IF(E177="MUS",H177/F177,"")</f>
        <v>0</v>
      </c>
    </row>
    <row r="178" customFormat="false" ht="15" hidden="false" customHeight="false" outlineLevel="0" collapsed="false">
      <c r="A178" s="5" t="s">
        <v>472</v>
      </c>
      <c r="B178" s="5" t="s">
        <v>154</v>
      </c>
      <c r="C178" s="5" t="s">
        <v>155</v>
      </c>
      <c r="D178" s="5" t="s">
        <v>288</v>
      </c>
      <c r="E178" s="5" t="s">
        <v>160</v>
      </c>
      <c r="F178" s="16" t="n">
        <v>10010.404</v>
      </c>
      <c r="G178" s="16" t="n">
        <v>10010.404</v>
      </c>
      <c r="H178" s="17" t="n">
        <f aca="false">F178-G178</f>
        <v>0</v>
      </c>
      <c r="I178" s="18" t="n">
        <f aca="false">IF(E178="MUS",H178/F178,"")</f>
        <v>0</v>
      </c>
    </row>
    <row r="179" customFormat="false" ht="15" hidden="false" customHeight="false" outlineLevel="0" collapsed="false">
      <c r="A179" s="5" t="s">
        <v>473</v>
      </c>
      <c r="B179" s="5" t="s">
        <v>154</v>
      </c>
      <c r="C179" s="5" t="s">
        <v>190</v>
      </c>
      <c r="D179" s="5" t="s">
        <v>474</v>
      </c>
      <c r="E179" s="5" t="s">
        <v>160</v>
      </c>
      <c r="F179" s="16" t="n">
        <v>139.839</v>
      </c>
      <c r="G179" s="16" t="n">
        <v>139.839</v>
      </c>
      <c r="H179" s="17" t="n">
        <f aca="false">F179-G179</f>
        <v>0</v>
      </c>
      <c r="I179" s="18" t="n">
        <f aca="false">IF(E179="MUS",H179/F179,"")</f>
        <v>0</v>
      </c>
    </row>
    <row r="180" customFormat="false" ht="15" hidden="false" customHeight="false" outlineLevel="0" collapsed="false">
      <c r="A180" s="5" t="s">
        <v>475</v>
      </c>
      <c r="B180" s="5" t="s">
        <v>154</v>
      </c>
      <c r="C180" s="5" t="s">
        <v>171</v>
      </c>
      <c r="D180" s="5" t="s">
        <v>476</v>
      </c>
      <c r="E180" s="5" t="s">
        <v>160</v>
      </c>
      <c r="F180" s="16" t="n">
        <v>207.135</v>
      </c>
      <c r="G180" s="16" t="n">
        <v>207.135</v>
      </c>
      <c r="H180" s="17" t="n">
        <f aca="false">F180-G180</f>
        <v>0</v>
      </c>
      <c r="I180" s="18" t="n">
        <f aca="false">IF(E180="MUS",H180/F180,"")</f>
        <v>0</v>
      </c>
    </row>
    <row r="181" customFormat="false" ht="15" hidden="false" customHeight="false" outlineLevel="0" collapsed="false">
      <c r="A181" s="5" t="s">
        <v>477</v>
      </c>
      <c r="B181" s="5" t="s">
        <v>154</v>
      </c>
      <c r="C181" s="5" t="s">
        <v>174</v>
      </c>
      <c r="D181" s="5" t="s">
        <v>478</v>
      </c>
      <c r="E181" s="5" t="s">
        <v>160</v>
      </c>
      <c r="F181" s="16" t="n">
        <v>114.023</v>
      </c>
      <c r="G181" s="16" t="n">
        <v>114.023</v>
      </c>
      <c r="H181" s="17" t="n">
        <f aca="false">F181-G181</f>
        <v>0</v>
      </c>
      <c r="I181" s="18" t="n">
        <f aca="false">IF(E181="MUS",H181/F181,"")</f>
        <v>0</v>
      </c>
    </row>
    <row r="182" customFormat="false" ht="15" hidden="false" customHeight="false" outlineLevel="0" collapsed="false">
      <c r="A182" s="5" t="s">
        <v>479</v>
      </c>
      <c r="B182" s="5" t="s">
        <v>154</v>
      </c>
      <c r="C182" s="5" t="s">
        <v>166</v>
      </c>
      <c r="D182" s="5" t="s">
        <v>480</v>
      </c>
      <c r="E182" s="5" t="s">
        <v>160</v>
      </c>
      <c r="F182" s="16" t="n">
        <v>2136.209</v>
      </c>
      <c r="G182" s="16" t="n">
        <v>2136.209</v>
      </c>
      <c r="H182" s="17" t="n">
        <f aca="false">F182-G182</f>
        <v>0</v>
      </c>
      <c r="I182" s="18" t="n">
        <f aca="false">IF(E182="MUS",H182/F182,"")</f>
        <v>0</v>
      </c>
    </row>
    <row r="183" customFormat="false" ht="15" hidden="false" customHeight="false" outlineLevel="0" collapsed="false">
      <c r="A183" s="5" t="s">
        <v>481</v>
      </c>
      <c r="B183" s="5" t="s">
        <v>154</v>
      </c>
      <c r="C183" s="5" t="s">
        <v>226</v>
      </c>
      <c r="D183" s="5" t="s">
        <v>482</v>
      </c>
      <c r="E183" s="5" t="s">
        <v>160</v>
      </c>
      <c r="F183" s="16" t="n">
        <v>20760.401</v>
      </c>
      <c r="G183" s="16" t="n">
        <v>20760.401</v>
      </c>
      <c r="H183" s="17" t="n">
        <f aca="false">F183-G183</f>
        <v>0</v>
      </c>
      <c r="I183" s="18" t="n">
        <f aca="false">IF(E183="MUS",H183/F183,"")</f>
        <v>0</v>
      </c>
    </row>
    <row r="184" customFormat="false" ht="15" hidden="false" customHeight="false" outlineLevel="0" collapsed="false">
      <c r="A184" s="5" t="s">
        <v>483</v>
      </c>
      <c r="B184" s="5" t="s">
        <v>154</v>
      </c>
      <c r="C184" s="5" t="s">
        <v>166</v>
      </c>
      <c r="D184" s="5" t="s">
        <v>484</v>
      </c>
      <c r="E184" s="5" t="s">
        <v>160</v>
      </c>
      <c r="F184" s="16" t="n">
        <v>1588.773</v>
      </c>
      <c r="G184" s="16" t="n">
        <v>1588.773</v>
      </c>
      <c r="H184" s="17" t="n">
        <f aca="false">F184-G184</f>
        <v>0</v>
      </c>
      <c r="I184" s="18" t="n">
        <f aca="false">IF(E184="MUS",H184/F184,"")</f>
        <v>0</v>
      </c>
    </row>
    <row r="185" customFormat="false" ht="15" hidden="false" customHeight="false" outlineLevel="0" collapsed="false">
      <c r="A185" s="5" t="s">
        <v>485</v>
      </c>
      <c r="B185" s="5" t="s">
        <v>154</v>
      </c>
      <c r="C185" s="5" t="s">
        <v>174</v>
      </c>
      <c r="D185" s="5" t="s">
        <v>288</v>
      </c>
      <c r="E185" s="5" t="s">
        <v>160</v>
      </c>
      <c r="F185" s="16" t="n">
        <v>60.593</v>
      </c>
      <c r="G185" s="16" t="n">
        <v>60.593</v>
      </c>
      <c r="H185" s="17" t="n">
        <f aca="false">F185-G185</f>
        <v>0</v>
      </c>
      <c r="I185" s="18" t="n">
        <f aca="false">IF(E185="MUS",H185/F185,"")</f>
        <v>0</v>
      </c>
    </row>
    <row r="186" customFormat="false" ht="15" hidden="false" customHeight="false" outlineLevel="0" collapsed="false">
      <c r="A186" s="5" t="s">
        <v>486</v>
      </c>
      <c r="B186" s="5" t="s">
        <v>211</v>
      </c>
      <c r="C186" s="5" t="s">
        <v>212</v>
      </c>
      <c r="D186" s="5" t="s">
        <v>213</v>
      </c>
      <c r="E186" s="5" t="s">
        <v>160</v>
      </c>
      <c r="F186" s="16" t="n">
        <v>143.736</v>
      </c>
      <c r="G186" s="16" t="n">
        <v>143.736</v>
      </c>
      <c r="H186" s="17" t="n">
        <f aca="false">F186-G186</f>
        <v>0</v>
      </c>
      <c r="I186" s="18" t="n">
        <f aca="false">IF(E186="MUS",H186/F186,"")</f>
        <v>0</v>
      </c>
    </row>
    <row r="187" customFormat="false" ht="15" hidden="false" customHeight="false" outlineLevel="0" collapsed="false">
      <c r="A187" s="5" t="s">
        <v>487</v>
      </c>
      <c r="B187" s="5" t="s">
        <v>154</v>
      </c>
      <c r="C187" s="5" t="s">
        <v>171</v>
      </c>
      <c r="D187" s="5" t="s">
        <v>488</v>
      </c>
      <c r="E187" s="5" t="s">
        <v>160</v>
      </c>
      <c r="F187" s="16" t="n">
        <v>5298.964</v>
      </c>
      <c r="G187" s="16" t="n">
        <v>5298.964</v>
      </c>
      <c r="H187" s="17" t="n">
        <f aca="false">F187-G187</f>
        <v>0</v>
      </c>
      <c r="I187" s="18" t="n">
        <f aca="false">IF(E187="MUS",H187/F187,"")</f>
        <v>0</v>
      </c>
    </row>
    <row r="188" customFormat="false" ht="15" hidden="false" customHeight="false" outlineLevel="0" collapsed="false">
      <c r="A188" s="5" t="s">
        <v>489</v>
      </c>
      <c r="B188" s="5" t="s">
        <v>154</v>
      </c>
      <c r="C188" s="5" t="s">
        <v>171</v>
      </c>
      <c r="D188" s="5" t="s">
        <v>330</v>
      </c>
      <c r="E188" s="5" t="s">
        <v>160</v>
      </c>
      <c r="F188" s="16" t="n">
        <v>28029.345</v>
      </c>
      <c r="G188" s="16" t="n">
        <v>28029.345</v>
      </c>
      <c r="H188" s="17" t="n">
        <f aca="false">F188-G188</f>
        <v>0</v>
      </c>
      <c r="I188" s="18" t="n">
        <f aca="false">IF(E188="MUS",H188/F188,"")</f>
        <v>0</v>
      </c>
    </row>
    <row r="189" customFormat="false" ht="15" hidden="false" customHeight="false" outlineLevel="0" collapsed="false">
      <c r="A189" s="5" t="s">
        <v>490</v>
      </c>
      <c r="B189" s="5" t="s">
        <v>154</v>
      </c>
      <c r="C189" s="5" t="s">
        <v>226</v>
      </c>
      <c r="D189" s="5" t="s">
        <v>222</v>
      </c>
      <c r="E189" s="5" t="s">
        <v>160</v>
      </c>
      <c r="F189" s="16" t="n">
        <v>25978.337</v>
      </c>
      <c r="G189" s="16" t="n">
        <v>25978.337</v>
      </c>
      <c r="H189" s="17" t="n">
        <f aca="false">F189-G189</f>
        <v>0</v>
      </c>
      <c r="I189" s="18" t="n">
        <f aca="false">IF(E189="MUS",H189/F189,"")</f>
        <v>0</v>
      </c>
    </row>
    <row r="190" customFormat="false" ht="15" hidden="false" customHeight="false" outlineLevel="0" collapsed="false">
      <c r="A190" s="5" t="s">
        <v>491</v>
      </c>
      <c r="B190" s="5" t="s">
        <v>154</v>
      </c>
      <c r="C190" s="5" t="s">
        <v>226</v>
      </c>
      <c r="D190" s="5" t="s">
        <v>492</v>
      </c>
      <c r="E190" s="5" t="s">
        <v>160</v>
      </c>
      <c r="F190" s="16" t="n">
        <v>6579.307</v>
      </c>
      <c r="G190" s="16" t="n">
        <v>6579.307</v>
      </c>
      <c r="H190" s="17" t="n">
        <f aca="false">F190-G190</f>
        <v>0</v>
      </c>
      <c r="I190" s="18" t="n">
        <f aca="false">IF(E190="MUS",H190/F190,"")</f>
        <v>0</v>
      </c>
    </row>
    <row r="191" customFormat="false" ht="15" hidden="false" customHeight="false" outlineLevel="0" collapsed="false">
      <c r="A191" s="5" t="s">
        <v>493</v>
      </c>
      <c r="B191" s="5" t="s">
        <v>211</v>
      </c>
      <c r="C191" s="5" t="s">
        <v>212</v>
      </c>
      <c r="D191" s="5" t="s">
        <v>213</v>
      </c>
      <c r="E191" s="5" t="s">
        <v>160</v>
      </c>
      <c r="F191" s="16" t="n">
        <v>196.35</v>
      </c>
      <c r="G191" s="16" t="n">
        <v>196.35</v>
      </c>
      <c r="H191" s="17" t="n">
        <f aca="false">F191-G191</f>
        <v>0</v>
      </c>
      <c r="I191" s="18" t="n">
        <f aca="false">IF(E191="MUS",H191/F191,"")</f>
        <v>0</v>
      </c>
    </row>
    <row r="192" customFormat="false" ht="15" hidden="false" customHeight="false" outlineLevel="0" collapsed="false">
      <c r="A192" s="5" t="s">
        <v>494</v>
      </c>
      <c r="B192" s="5" t="s">
        <v>211</v>
      </c>
      <c r="C192" s="5" t="s">
        <v>212</v>
      </c>
      <c r="D192" s="5" t="s">
        <v>213</v>
      </c>
      <c r="E192" s="5" t="s">
        <v>160</v>
      </c>
      <c r="F192" s="16" t="n">
        <v>184.579</v>
      </c>
      <c r="G192" s="16" t="n">
        <v>184.579</v>
      </c>
      <c r="H192" s="17" t="n">
        <f aca="false">F192-G192</f>
        <v>0</v>
      </c>
      <c r="I192" s="18" t="n">
        <f aca="false">IF(E192="MUS",H192/F192,"")</f>
        <v>0</v>
      </c>
    </row>
    <row r="193" customFormat="false" ht="15" hidden="false" customHeight="false" outlineLevel="0" collapsed="false">
      <c r="A193" s="5" t="s">
        <v>495</v>
      </c>
      <c r="B193" s="5" t="s">
        <v>154</v>
      </c>
      <c r="C193" s="5" t="s">
        <v>174</v>
      </c>
      <c r="D193" s="5" t="s">
        <v>496</v>
      </c>
      <c r="E193" s="5" t="s">
        <v>160</v>
      </c>
      <c r="F193" s="16" t="n">
        <v>42.406</v>
      </c>
      <c r="G193" s="16" t="n">
        <v>42.406</v>
      </c>
      <c r="H193" s="17" t="n">
        <f aca="false">F193-G193</f>
        <v>0</v>
      </c>
      <c r="I193" s="18" t="n">
        <f aca="false">IF(E193="MUS",H193/F193,"")</f>
        <v>0</v>
      </c>
    </row>
    <row r="194" customFormat="false" ht="15" hidden="false" customHeight="false" outlineLevel="0" collapsed="false">
      <c r="A194" s="5" t="s">
        <v>497</v>
      </c>
      <c r="B194" s="5" t="s">
        <v>154</v>
      </c>
      <c r="C194" s="5" t="s">
        <v>155</v>
      </c>
      <c r="D194" s="5" t="s">
        <v>498</v>
      </c>
      <c r="E194" s="5" t="s">
        <v>160</v>
      </c>
      <c r="F194" s="16" t="n">
        <v>28067.618</v>
      </c>
      <c r="G194" s="16" t="n">
        <v>28067.618</v>
      </c>
      <c r="H194" s="17" t="n">
        <f aca="false">F194-G194</f>
        <v>0</v>
      </c>
      <c r="I194" s="18" t="n">
        <f aca="false">IF(E194="MUS",H194/F194,"")</f>
        <v>0</v>
      </c>
    </row>
    <row r="195" customFormat="false" ht="15" hidden="false" customHeight="false" outlineLevel="0" collapsed="false">
      <c r="A195" s="5" t="s">
        <v>499</v>
      </c>
      <c r="B195" s="5" t="s">
        <v>154</v>
      </c>
      <c r="C195" s="5" t="s">
        <v>171</v>
      </c>
      <c r="D195" s="5" t="s">
        <v>500</v>
      </c>
      <c r="E195" s="5" t="s">
        <v>160</v>
      </c>
      <c r="F195" s="16" t="n">
        <v>14519.972</v>
      </c>
      <c r="G195" s="16" t="n">
        <v>14519.972</v>
      </c>
      <c r="H195" s="17" t="n">
        <f aca="false">F195-G195</f>
        <v>0</v>
      </c>
      <c r="I195" s="18" t="n">
        <f aca="false">IF(E195="MUS",H195/F195,"")</f>
        <v>0</v>
      </c>
    </row>
    <row r="196" customFormat="false" ht="15" hidden="false" customHeight="false" outlineLevel="0" collapsed="false">
      <c r="A196" s="5" t="s">
        <v>501</v>
      </c>
      <c r="B196" s="5" t="s">
        <v>154</v>
      </c>
      <c r="C196" s="5" t="s">
        <v>171</v>
      </c>
      <c r="D196" s="5" t="s">
        <v>502</v>
      </c>
      <c r="E196" s="5" t="s">
        <v>160</v>
      </c>
      <c r="F196" s="16" t="n">
        <v>2995.367</v>
      </c>
      <c r="G196" s="16" t="n">
        <v>2995.367</v>
      </c>
      <c r="H196" s="17" t="n">
        <f aca="false">F196-G196</f>
        <v>0</v>
      </c>
      <c r="I196" s="18" t="n">
        <f aca="false">IF(E196="MUS",H196/F196,"")</f>
        <v>0</v>
      </c>
    </row>
    <row r="197" customFormat="false" ht="15" hidden="false" customHeight="false" outlineLevel="0" collapsed="false">
      <c r="A197" s="5" t="s">
        <v>503</v>
      </c>
      <c r="B197" s="5" t="s">
        <v>154</v>
      </c>
      <c r="C197" s="5" t="s">
        <v>171</v>
      </c>
      <c r="D197" s="5" t="s">
        <v>502</v>
      </c>
      <c r="E197" s="5" t="s">
        <v>160</v>
      </c>
      <c r="F197" s="16" t="n">
        <v>3481.399</v>
      </c>
      <c r="G197" s="16" t="n">
        <v>3481.399</v>
      </c>
      <c r="H197" s="17" t="n">
        <f aca="false">F197-G197</f>
        <v>0</v>
      </c>
      <c r="I197" s="18" t="n">
        <f aca="false">IF(E197="MUS",H197/F197,"")</f>
        <v>0</v>
      </c>
    </row>
    <row r="198" customFormat="false" ht="15" hidden="false" customHeight="false" outlineLevel="0" collapsed="false">
      <c r="A198" s="5" t="s">
        <v>504</v>
      </c>
      <c r="B198" s="5" t="s">
        <v>154</v>
      </c>
      <c r="C198" s="5" t="s">
        <v>226</v>
      </c>
      <c r="D198" s="5" t="s">
        <v>205</v>
      </c>
      <c r="E198" s="5" t="s">
        <v>160</v>
      </c>
      <c r="F198" s="16" t="n">
        <v>19469.062</v>
      </c>
      <c r="G198" s="16" t="n">
        <v>19469.062</v>
      </c>
      <c r="H198" s="17" t="n">
        <f aca="false">F198-G198</f>
        <v>0</v>
      </c>
      <c r="I198" s="18" t="n">
        <f aca="false">IF(E198="MUS",H198/F198,"")</f>
        <v>0</v>
      </c>
    </row>
    <row r="199" customFormat="false" ht="15" hidden="false" customHeight="false" outlineLevel="0" collapsed="false">
      <c r="A199" s="5" t="s">
        <v>505</v>
      </c>
      <c r="B199" s="5" t="s">
        <v>154</v>
      </c>
      <c r="C199" s="5" t="s">
        <v>177</v>
      </c>
      <c r="D199" s="5" t="s">
        <v>506</v>
      </c>
      <c r="E199" s="5" t="s">
        <v>160</v>
      </c>
      <c r="F199" s="16" t="n">
        <v>47.269</v>
      </c>
      <c r="G199" s="16" t="n">
        <v>47.269</v>
      </c>
      <c r="H199" s="17" t="n">
        <f aca="false">F199-G199</f>
        <v>0</v>
      </c>
      <c r="I199" s="18" t="n">
        <f aca="false">IF(E199="MUS",H199/F199,"")</f>
        <v>0</v>
      </c>
    </row>
    <row r="200" customFormat="false" ht="15" hidden="false" customHeight="false" outlineLevel="0" collapsed="false">
      <c r="A200" s="5" t="s">
        <v>507</v>
      </c>
      <c r="B200" s="5" t="s">
        <v>154</v>
      </c>
      <c r="C200" s="5" t="s">
        <v>177</v>
      </c>
      <c r="D200" s="5" t="s">
        <v>476</v>
      </c>
      <c r="E200" s="5" t="s">
        <v>160</v>
      </c>
      <c r="F200" s="16" t="n">
        <v>534.848</v>
      </c>
      <c r="G200" s="16" t="n">
        <v>534.848</v>
      </c>
      <c r="H200" s="17" t="n">
        <f aca="false">F200-G200</f>
        <v>0</v>
      </c>
      <c r="I200" s="18" t="n">
        <f aca="false">IF(E200="MUS",H200/F200,"")</f>
        <v>0</v>
      </c>
    </row>
    <row r="201" customFormat="false" ht="15" hidden="false" customHeight="false" outlineLevel="0" collapsed="false">
      <c r="A201" s="5" t="s">
        <v>508</v>
      </c>
      <c r="B201" s="5" t="s">
        <v>154</v>
      </c>
      <c r="C201" s="5" t="s">
        <v>171</v>
      </c>
      <c r="D201" s="5" t="s">
        <v>330</v>
      </c>
      <c r="E201" s="5" t="s">
        <v>160</v>
      </c>
      <c r="F201" s="16" t="n">
        <v>1143.496</v>
      </c>
      <c r="G201" s="16" t="n">
        <v>1143.496</v>
      </c>
      <c r="H201" s="17" t="n">
        <f aca="false">F201-G201</f>
        <v>0</v>
      </c>
      <c r="I201" s="18" t="n">
        <f aca="false">IF(E201="MUS",H201/F201,"")</f>
        <v>0</v>
      </c>
    </row>
    <row r="202" customFormat="false" ht="15" hidden="false" customHeight="false" outlineLevel="0" collapsed="false">
      <c r="A202" s="5" t="s">
        <v>509</v>
      </c>
      <c r="B202" s="5" t="s">
        <v>154</v>
      </c>
      <c r="C202" s="5" t="s">
        <v>166</v>
      </c>
      <c r="D202" s="5" t="s">
        <v>215</v>
      </c>
      <c r="E202" s="5" t="s">
        <v>160</v>
      </c>
      <c r="F202" s="16" t="n">
        <v>1510.263</v>
      </c>
      <c r="G202" s="16" t="n">
        <v>1510.263</v>
      </c>
      <c r="H202" s="17" t="n">
        <f aca="false">F202-G202</f>
        <v>0</v>
      </c>
      <c r="I202" s="18" t="n">
        <f aca="false">IF(E202="MUS",H202/F202,"")</f>
        <v>0</v>
      </c>
    </row>
    <row r="203" customFormat="false" ht="15" hidden="false" customHeight="false" outlineLevel="0" collapsed="false">
      <c r="A203" s="5" t="s">
        <v>510</v>
      </c>
      <c r="B203" s="5" t="s">
        <v>154</v>
      </c>
      <c r="C203" s="5" t="s">
        <v>226</v>
      </c>
      <c r="D203" s="5" t="s">
        <v>511</v>
      </c>
      <c r="E203" s="5" t="s">
        <v>160</v>
      </c>
      <c r="F203" s="16" t="n">
        <v>29319.483</v>
      </c>
      <c r="G203" s="16" t="n">
        <v>29319.483</v>
      </c>
      <c r="H203" s="17" t="n">
        <f aca="false">F203-G203</f>
        <v>0</v>
      </c>
      <c r="I203" s="18" t="n">
        <f aca="false">IF(E203="MUS",H203/F203,"")</f>
        <v>0</v>
      </c>
    </row>
    <row r="204" customFormat="false" ht="15" hidden="false" customHeight="false" outlineLevel="0" collapsed="false">
      <c r="A204" s="5" t="s">
        <v>512</v>
      </c>
      <c r="B204" s="5" t="s">
        <v>211</v>
      </c>
      <c r="C204" s="5" t="s">
        <v>212</v>
      </c>
      <c r="D204" s="5" t="s">
        <v>213</v>
      </c>
      <c r="E204" s="5" t="s">
        <v>160</v>
      </c>
      <c r="F204" s="16" t="n">
        <v>88.149</v>
      </c>
      <c r="G204" s="16" t="n">
        <v>88.149</v>
      </c>
      <c r="H204" s="17" t="n">
        <f aca="false">F204-G204</f>
        <v>0</v>
      </c>
      <c r="I204" s="18" t="n">
        <f aca="false">IF(E204="MUS",H204/F204,"")</f>
        <v>0</v>
      </c>
    </row>
    <row r="205" customFormat="false" ht="15" hidden="false" customHeight="false" outlineLevel="0" collapsed="false">
      <c r="A205" s="5" t="s">
        <v>513</v>
      </c>
      <c r="B205" s="5" t="s">
        <v>154</v>
      </c>
      <c r="C205" s="5" t="s">
        <v>190</v>
      </c>
      <c r="D205" s="5" t="s">
        <v>514</v>
      </c>
      <c r="E205" s="5" t="s">
        <v>160</v>
      </c>
      <c r="F205" s="16" t="n">
        <v>215.922</v>
      </c>
      <c r="G205" s="16" t="n">
        <v>197.04</v>
      </c>
      <c r="H205" s="17" t="n">
        <f aca="false">F205-G205</f>
        <v>18.882</v>
      </c>
      <c r="I205" s="18" t="n">
        <f aca="false">IF(E205="MUS",H205/F205,"")</f>
        <v>0.0874482451996555</v>
      </c>
    </row>
    <row r="206" customFormat="false" ht="15" hidden="false" customHeight="false" outlineLevel="0" collapsed="false">
      <c r="A206" s="5" t="s">
        <v>515</v>
      </c>
      <c r="B206" s="5" t="s">
        <v>154</v>
      </c>
      <c r="C206" s="5" t="s">
        <v>155</v>
      </c>
      <c r="D206" s="5" t="s">
        <v>500</v>
      </c>
      <c r="E206" s="5" t="s">
        <v>160</v>
      </c>
      <c r="F206" s="16" t="n">
        <v>92429.65</v>
      </c>
      <c r="G206" s="16" t="n">
        <v>92429.65</v>
      </c>
      <c r="H206" s="17" t="n">
        <f aca="false">F206-G206</f>
        <v>0</v>
      </c>
      <c r="I206" s="18" t="n">
        <f aca="false">IF(E206="MUS",H206/F206,"")</f>
        <v>0</v>
      </c>
    </row>
    <row r="207" customFormat="false" ht="15" hidden="false" customHeight="false" outlineLevel="0" collapsed="false">
      <c r="A207" s="5" t="s">
        <v>516</v>
      </c>
      <c r="B207" s="5" t="s">
        <v>154</v>
      </c>
      <c r="C207" s="5" t="s">
        <v>190</v>
      </c>
      <c r="D207" s="5" t="s">
        <v>164</v>
      </c>
      <c r="E207" s="5" t="s">
        <v>160</v>
      </c>
      <c r="F207" s="16" t="n">
        <v>41.527</v>
      </c>
      <c r="G207" s="16" t="n">
        <v>41.527</v>
      </c>
      <c r="H207" s="17" t="n">
        <f aca="false">F207-G207</f>
        <v>0</v>
      </c>
      <c r="I207" s="18" t="n">
        <f aca="false">IF(E207="MUS",H207/F207,"")</f>
        <v>0</v>
      </c>
    </row>
    <row r="208" customFormat="false" ht="15" hidden="false" customHeight="false" outlineLevel="0" collapsed="false">
      <c r="A208" s="5" t="s">
        <v>517</v>
      </c>
      <c r="B208" s="5" t="s">
        <v>154</v>
      </c>
      <c r="C208" s="5" t="s">
        <v>226</v>
      </c>
      <c r="D208" s="5" t="s">
        <v>518</v>
      </c>
      <c r="E208" s="5" t="s">
        <v>160</v>
      </c>
      <c r="F208" s="16" t="n">
        <v>12065.165</v>
      </c>
      <c r="G208" s="16" t="n">
        <v>12065.165</v>
      </c>
      <c r="H208" s="17" t="n">
        <f aca="false">F208-G208</f>
        <v>0</v>
      </c>
      <c r="I208" s="18" t="n">
        <f aca="false">IF(E208="MUS",H208/F208,"")</f>
        <v>0</v>
      </c>
    </row>
    <row r="209" customFormat="false" ht="15" hidden="false" customHeight="false" outlineLevel="0" collapsed="false">
      <c r="A209" s="5" t="s">
        <v>519</v>
      </c>
      <c r="B209" s="5" t="s">
        <v>154</v>
      </c>
      <c r="C209" s="5" t="s">
        <v>155</v>
      </c>
      <c r="D209" s="5" t="s">
        <v>520</v>
      </c>
      <c r="E209" s="5" t="s">
        <v>160</v>
      </c>
      <c r="F209" s="16" t="n">
        <v>12435.872</v>
      </c>
      <c r="G209" s="16" t="n">
        <v>12435.872</v>
      </c>
      <c r="H209" s="17" t="n">
        <f aca="false">F209-G209</f>
        <v>0</v>
      </c>
      <c r="I209" s="18" t="n">
        <f aca="false">IF(E209="MUS",H209/F209,"")</f>
        <v>0</v>
      </c>
    </row>
    <row r="210" customFormat="false" ht="15" hidden="false" customHeight="false" outlineLevel="0" collapsed="false">
      <c r="A210" s="5" t="s">
        <v>521</v>
      </c>
      <c r="B210" s="5" t="s">
        <v>154</v>
      </c>
      <c r="C210" s="5" t="s">
        <v>190</v>
      </c>
      <c r="D210" s="5" t="s">
        <v>474</v>
      </c>
      <c r="E210" s="5" t="s">
        <v>160</v>
      </c>
      <c r="F210" s="16" t="n">
        <v>101.488</v>
      </c>
      <c r="G210" s="16" t="n">
        <v>101.488</v>
      </c>
      <c r="H210" s="17" t="n">
        <f aca="false">F210-G210</f>
        <v>0</v>
      </c>
      <c r="I210" s="18" t="n">
        <f aca="false">IF(E210="MUS",H210/F210,"")</f>
        <v>0</v>
      </c>
    </row>
    <row r="211" customFormat="false" ht="15" hidden="false" customHeight="false" outlineLevel="0" collapsed="false">
      <c r="A211" s="5" t="s">
        <v>522</v>
      </c>
      <c r="B211" s="5" t="s">
        <v>154</v>
      </c>
      <c r="C211" s="5" t="s">
        <v>171</v>
      </c>
      <c r="D211" s="5" t="s">
        <v>254</v>
      </c>
      <c r="E211" s="5" t="s">
        <v>160</v>
      </c>
      <c r="F211" s="16" t="n">
        <v>381.196</v>
      </c>
      <c r="G211" s="16" t="n">
        <v>381.196</v>
      </c>
      <c r="H211" s="17" t="n">
        <f aca="false">F211-G211</f>
        <v>0</v>
      </c>
      <c r="I211" s="18" t="n">
        <f aca="false">IF(E211="MUS",H211/F211,"")</f>
        <v>0</v>
      </c>
    </row>
    <row r="212" customFormat="false" ht="15" hidden="false" customHeight="false" outlineLevel="0" collapsed="false">
      <c r="A212" s="5" t="s">
        <v>523</v>
      </c>
      <c r="B212" s="5" t="s">
        <v>211</v>
      </c>
      <c r="C212" s="5" t="s">
        <v>212</v>
      </c>
      <c r="D212" s="5" t="s">
        <v>213</v>
      </c>
      <c r="E212" s="5" t="s">
        <v>160</v>
      </c>
      <c r="F212" s="16" t="n">
        <v>672.011</v>
      </c>
      <c r="G212" s="16" t="n">
        <v>672.011</v>
      </c>
      <c r="H212" s="17" t="n">
        <f aca="false">F212-G212</f>
        <v>0</v>
      </c>
      <c r="I212" s="18" t="n">
        <f aca="false">IF(E212="MUS",H212/F212,"")</f>
        <v>0</v>
      </c>
    </row>
    <row r="213" customFormat="false" ht="15" hidden="false" customHeight="false" outlineLevel="0" collapsed="false">
      <c r="A213" s="5" t="s">
        <v>524</v>
      </c>
      <c r="B213" s="5" t="s">
        <v>154</v>
      </c>
      <c r="C213" s="5" t="s">
        <v>171</v>
      </c>
      <c r="D213" s="5" t="s">
        <v>525</v>
      </c>
      <c r="E213" s="5" t="s">
        <v>160</v>
      </c>
      <c r="F213" s="16" t="n">
        <v>6522.087</v>
      </c>
      <c r="G213" s="16" t="n">
        <v>6522.087</v>
      </c>
      <c r="H213" s="17" t="n">
        <f aca="false">F213-G213</f>
        <v>0</v>
      </c>
      <c r="I213" s="18" t="n">
        <f aca="false">IF(E213="MUS",H213/F213,"")</f>
        <v>0</v>
      </c>
    </row>
    <row r="214" customFormat="false" ht="15" hidden="false" customHeight="false" outlineLevel="0" collapsed="false">
      <c r="A214" s="5" t="s">
        <v>526</v>
      </c>
      <c r="B214" s="5" t="s">
        <v>154</v>
      </c>
      <c r="C214" s="5" t="s">
        <v>174</v>
      </c>
      <c r="D214" s="5" t="s">
        <v>442</v>
      </c>
      <c r="E214" s="5" t="s">
        <v>160</v>
      </c>
      <c r="F214" s="16" t="n">
        <v>221.54</v>
      </c>
      <c r="G214" s="16" t="n">
        <v>221.54</v>
      </c>
      <c r="H214" s="17" t="n">
        <f aca="false">F214-G214</f>
        <v>0</v>
      </c>
      <c r="I214" s="18" t="n">
        <f aca="false">IF(E214="MUS",H214/F214,"")</f>
        <v>0</v>
      </c>
    </row>
    <row r="215" customFormat="false" ht="15" hidden="false" customHeight="false" outlineLevel="0" collapsed="false">
      <c r="A215" s="5" t="s">
        <v>527</v>
      </c>
      <c r="B215" s="5" t="s">
        <v>154</v>
      </c>
      <c r="C215" s="5" t="s">
        <v>155</v>
      </c>
      <c r="D215" s="5" t="s">
        <v>528</v>
      </c>
      <c r="E215" s="5" t="s">
        <v>160</v>
      </c>
      <c r="F215" s="16" t="n">
        <v>39550.179</v>
      </c>
      <c r="G215" s="16" t="n">
        <v>39550.179</v>
      </c>
      <c r="H215" s="17" t="n">
        <f aca="false">F215-G215</f>
        <v>0</v>
      </c>
      <c r="I215" s="18" t="n">
        <f aca="false">IF(E215="MUS",H215/F215,"")</f>
        <v>0</v>
      </c>
    </row>
    <row r="216" customFormat="false" ht="15" hidden="false" customHeight="false" outlineLevel="0" collapsed="false">
      <c r="A216" s="5" t="s">
        <v>529</v>
      </c>
      <c r="B216" s="5" t="s">
        <v>211</v>
      </c>
      <c r="C216" s="5" t="s">
        <v>212</v>
      </c>
      <c r="D216" s="5" t="s">
        <v>213</v>
      </c>
      <c r="E216" s="5" t="s">
        <v>160</v>
      </c>
      <c r="F216" s="16" t="n">
        <v>208.35</v>
      </c>
      <c r="G216" s="16" t="n">
        <v>208.35</v>
      </c>
      <c r="H216" s="17" t="n">
        <f aca="false">F216-G216</f>
        <v>0</v>
      </c>
      <c r="I216" s="18" t="n">
        <f aca="false">IF(E216="MUS",H216/F216,"")</f>
        <v>0</v>
      </c>
    </row>
    <row r="217" customFormat="false" ht="15" hidden="false" customHeight="false" outlineLevel="0" collapsed="false">
      <c r="A217" s="5" t="s">
        <v>530</v>
      </c>
      <c r="B217" s="5" t="s">
        <v>154</v>
      </c>
      <c r="C217" s="5" t="s">
        <v>174</v>
      </c>
      <c r="D217" s="5" t="s">
        <v>531</v>
      </c>
      <c r="E217" s="5" t="s">
        <v>160</v>
      </c>
      <c r="F217" s="16" t="n">
        <v>1016.435</v>
      </c>
      <c r="G217" s="16" t="n">
        <v>1016.435</v>
      </c>
      <c r="H217" s="17" t="n">
        <f aca="false">F217-G217</f>
        <v>0</v>
      </c>
      <c r="I217" s="18" t="n">
        <f aca="false">IF(E217="MUS",H217/F217,"")</f>
        <v>0</v>
      </c>
    </row>
    <row r="218" customFormat="false" ht="15" hidden="false" customHeight="false" outlineLevel="0" collapsed="false">
      <c r="A218" s="5" t="s">
        <v>532</v>
      </c>
      <c r="B218" s="5" t="s">
        <v>154</v>
      </c>
      <c r="C218" s="5" t="s">
        <v>190</v>
      </c>
      <c r="D218" s="5" t="s">
        <v>533</v>
      </c>
      <c r="E218" s="5" t="s">
        <v>160</v>
      </c>
      <c r="F218" s="16" t="n">
        <v>59.179</v>
      </c>
      <c r="G218" s="16" t="n">
        <v>59.179</v>
      </c>
      <c r="H218" s="17" t="n">
        <f aca="false">F218-G218</f>
        <v>0</v>
      </c>
      <c r="I218" s="18" t="n">
        <f aca="false">IF(E218="MUS",H218/F218,"")</f>
        <v>0</v>
      </c>
    </row>
    <row r="219" customFormat="false" ht="15" hidden="false" customHeight="false" outlineLevel="0" collapsed="false">
      <c r="A219" s="5" t="s">
        <v>534</v>
      </c>
      <c r="B219" s="5" t="s">
        <v>154</v>
      </c>
      <c r="C219" s="5" t="s">
        <v>226</v>
      </c>
      <c r="D219" s="5" t="s">
        <v>520</v>
      </c>
      <c r="E219" s="5" t="s">
        <v>160</v>
      </c>
      <c r="F219" s="16" t="n">
        <v>10354.059</v>
      </c>
      <c r="G219" s="16" t="n">
        <v>10354.059</v>
      </c>
      <c r="H219" s="17" t="n">
        <f aca="false">F219-G219</f>
        <v>0</v>
      </c>
      <c r="I219" s="18" t="n">
        <f aca="false">IF(E219="MUS",H219/F219,"")</f>
        <v>0</v>
      </c>
    </row>
    <row r="220" customFormat="false" ht="15" hidden="false" customHeight="false" outlineLevel="0" collapsed="false">
      <c r="A220" s="5" t="s">
        <v>535</v>
      </c>
      <c r="B220" s="5" t="s">
        <v>154</v>
      </c>
      <c r="C220" s="5" t="s">
        <v>171</v>
      </c>
      <c r="D220" s="5" t="s">
        <v>518</v>
      </c>
      <c r="E220" s="5" t="s">
        <v>160</v>
      </c>
      <c r="F220" s="16" t="n">
        <v>847.586</v>
      </c>
      <c r="G220" s="16" t="n">
        <v>847.586</v>
      </c>
      <c r="H220" s="17" t="n">
        <f aca="false">F220-G220</f>
        <v>0</v>
      </c>
      <c r="I220" s="18" t="n">
        <f aca="false">IF(E220="MUS",H220/F220,"")</f>
        <v>0</v>
      </c>
    </row>
    <row r="221" customFormat="false" ht="15" hidden="false" customHeight="false" outlineLevel="0" collapsed="false">
      <c r="A221" s="5" t="s">
        <v>536</v>
      </c>
      <c r="B221" s="5" t="s">
        <v>154</v>
      </c>
      <c r="C221" s="5" t="s">
        <v>155</v>
      </c>
      <c r="D221" s="5" t="s">
        <v>306</v>
      </c>
      <c r="E221" s="5" t="s">
        <v>160</v>
      </c>
      <c r="F221" s="16" t="n">
        <v>18466.649</v>
      </c>
      <c r="G221" s="16" t="n">
        <v>18466.649</v>
      </c>
      <c r="H221" s="17" t="n">
        <f aca="false">F221-G221</f>
        <v>0</v>
      </c>
      <c r="I221" s="18" t="n">
        <f aca="false">IF(E221="MUS",H221/F221,"")</f>
        <v>0</v>
      </c>
    </row>
    <row r="222" customFormat="false" ht="15" hidden="false" customHeight="false" outlineLevel="0" collapsed="false">
      <c r="A222" s="5" t="s">
        <v>537</v>
      </c>
      <c r="B222" s="5" t="s">
        <v>154</v>
      </c>
      <c r="C222" s="5" t="s">
        <v>226</v>
      </c>
      <c r="D222" s="5" t="s">
        <v>538</v>
      </c>
      <c r="E222" s="5" t="s">
        <v>160</v>
      </c>
      <c r="F222" s="16" t="n">
        <v>16915.055</v>
      </c>
      <c r="G222" s="16" t="n">
        <v>16915.055</v>
      </c>
      <c r="H222" s="17" t="n">
        <f aca="false">F222-G222</f>
        <v>0</v>
      </c>
      <c r="I222" s="18" t="n">
        <f aca="false">IF(E222="MUS",H222/F222,"")</f>
        <v>0</v>
      </c>
    </row>
    <row r="223" customFormat="false" ht="15" hidden="false" customHeight="false" outlineLevel="0" collapsed="false">
      <c r="A223" s="5" t="s">
        <v>539</v>
      </c>
      <c r="B223" s="5" t="s">
        <v>154</v>
      </c>
      <c r="C223" s="5" t="s">
        <v>226</v>
      </c>
      <c r="D223" s="5" t="s">
        <v>381</v>
      </c>
      <c r="E223" s="5" t="s">
        <v>160</v>
      </c>
      <c r="F223" s="16" t="n">
        <v>5577.054</v>
      </c>
      <c r="G223" s="16" t="n">
        <v>5577.054</v>
      </c>
      <c r="H223" s="17" t="n">
        <f aca="false">F223-G223</f>
        <v>0</v>
      </c>
      <c r="I223" s="18" t="n">
        <f aca="false">IF(E223="MUS",H223/F223,"")</f>
        <v>0</v>
      </c>
    </row>
    <row r="224" customFormat="false" ht="15" hidden="false" customHeight="false" outlineLevel="0" collapsed="false">
      <c r="A224" s="5" t="s">
        <v>540</v>
      </c>
      <c r="B224" s="5" t="s">
        <v>211</v>
      </c>
      <c r="C224" s="5" t="s">
        <v>212</v>
      </c>
      <c r="D224" s="5" t="s">
        <v>213</v>
      </c>
      <c r="E224" s="5" t="s">
        <v>160</v>
      </c>
      <c r="F224" s="16" t="n">
        <v>83.522</v>
      </c>
      <c r="G224" s="16" t="n">
        <v>83.522</v>
      </c>
      <c r="H224" s="17" t="n">
        <f aca="false">F224-G224</f>
        <v>0</v>
      </c>
      <c r="I224" s="18" t="n">
        <f aca="false">IF(E224="MUS",H224/F224,"")</f>
        <v>0</v>
      </c>
    </row>
    <row r="225" customFormat="false" ht="15" hidden="false" customHeight="false" outlineLevel="0" collapsed="false">
      <c r="A225" s="5" t="s">
        <v>541</v>
      </c>
      <c r="B225" s="5" t="s">
        <v>211</v>
      </c>
      <c r="C225" s="5" t="s">
        <v>212</v>
      </c>
      <c r="D225" s="5" t="s">
        <v>213</v>
      </c>
      <c r="E225" s="5" t="s">
        <v>160</v>
      </c>
      <c r="F225" s="16" t="n">
        <v>2970.287</v>
      </c>
      <c r="G225" s="16" t="n">
        <v>2970.287</v>
      </c>
      <c r="H225" s="17" t="n">
        <f aca="false">F225-G225</f>
        <v>0</v>
      </c>
      <c r="I225" s="18" t="n">
        <f aca="false">IF(E225="MUS",H225/F225,"")</f>
        <v>0</v>
      </c>
    </row>
    <row r="226" customFormat="false" ht="15" hidden="false" customHeight="false" outlineLevel="0" collapsed="false">
      <c r="A226" s="5" t="s">
        <v>542</v>
      </c>
      <c r="B226" s="5" t="s">
        <v>211</v>
      </c>
      <c r="C226" s="5" t="s">
        <v>212</v>
      </c>
      <c r="D226" s="5" t="s">
        <v>213</v>
      </c>
      <c r="E226" s="5" t="s">
        <v>160</v>
      </c>
      <c r="F226" s="16" t="n">
        <v>275.069</v>
      </c>
      <c r="G226" s="16" t="n">
        <v>275.069</v>
      </c>
      <c r="H226" s="17" t="n">
        <f aca="false">F226-G226</f>
        <v>0</v>
      </c>
      <c r="I226" s="18" t="n">
        <f aca="false">IF(E226="MUS",H226/F226,"")</f>
        <v>0</v>
      </c>
    </row>
    <row r="227" customFormat="false" ht="15" hidden="false" customHeight="false" outlineLevel="0" collapsed="false">
      <c r="A227" s="5" t="s">
        <v>543</v>
      </c>
      <c r="B227" s="5" t="s">
        <v>154</v>
      </c>
      <c r="C227" s="5" t="s">
        <v>155</v>
      </c>
      <c r="D227" s="5" t="s">
        <v>544</v>
      </c>
      <c r="E227" s="5" t="s">
        <v>160</v>
      </c>
      <c r="F227" s="16" t="n">
        <v>6572.428</v>
      </c>
      <c r="G227" s="16" t="n">
        <v>6572.428</v>
      </c>
      <c r="H227" s="17" t="n">
        <f aca="false">F227-G227</f>
        <v>0</v>
      </c>
      <c r="I227" s="18" t="n">
        <f aca="false">IF(E227="MUS",H227/F227,"")</f>
        <v>0</v>
      </c>
    </row>
    <row r="228" customFormat="false" ht="15" hidden="false" customHeight="false" outlineLevel="0" collapsed="false">
      <c r="A228" s="5" t="s">
        <v>545</v>
      </c>
      <c r="B228" s="5" t="s">
        <v>154</v>
      </c>
      <c r="C228" s="5" t="s">
        <v>155</v>
      </c>
      <c r="D228" s="5" t="s">
        <v>546</v>
      </c>
      <c r="E228" s="5" t="s">
        <v>160</v>
      </c>
      <c r="F228" s="16" t="n">
        <v>10368.681</v>
      </c>
      <c r="G228" s="16" t="n">
        <v>10368.681</v>
      </c>
      <c r="H228" s="17" t="n">
        <f aca="false">F228-G228</f>
        <v>0</v>
      </c>
      <c r="I228" s="18" t="n">
        <f aca="false">IF(E228="MUS",H228/F228,"")</f>
        <v>0</v>
      </c>
    </row>
    <row r="229" customFormat="false" ht="15" hidden="false" customHeight="false" outlineLevel="0" collapsed="false">
      <c r="A229" s="5" t="s">
        <v>547</v>
      </c>
      <c r="B229" s="5" t="s">
        <v>211</v>
      </c>
      <c r="C229" s="5" t="s">
        <v>212</v>
      </c>
      <c r="D229" s="5" t="s">
        <v>213</v>
      </c>
      <c r="E229" s="5" t="s">
        <v>160</v>
      </c>
      <c r="F229" s="16" t="n">
        <v>1975.408</v>
      </c>
      <c r="G229" s="16" t="n">
        <v>1975.408</v>
      </c>
      <c r="H229" s="17" t="n">
        <f aca="false">F229-G229</f>
        <v>0</v>
      </c>
      <c r="I229" s="18" t="n">
        <f aca="false">IF(E229="MUS",H229/F229,"")</f>
        <v>0</v>
      </c>
    </row>
    <row r="230" customFormat="false" ht="15" hidden="false" customHeight="false" outlineLevel="0" collapsed="false">
      <c r="A230" s="5" t="s">
        <v>548</v>
      </c>
      <c r="B230" s="5" t="s">
        <v>154</v>
      </c>
      <c r="C230" s="5" t="s">
        <v>190</v>
      </c>
      <c r="D230" s="5" t="s">
        <v>238</v>
      </c>
      <c r="E230" s="5" t="s">
        <v>160</v>
      </c>
      <c r="F230" s="16" t="n">
        <v>734.099</v>
      </c>
      <c r="G230" s="16" t="n">
        <v>734.099</v>
      </c>
      <c r="H230" s="17" t="n">
        <f aca="false">F230-G230</f>
        <v>0</v>
      </c>
      <c r="I230" s="18" t="n">
        <f aca="false">IF(E230="MUS",H230/F230,"")</f>
        <v>0</v>
      </c>
    </row>
    <row r="231" customFormat="false" ht="15" hidden="false" customHeight="false" outlineLevel="0" collapsed="false">
      <c r="A231" s="5" t="s">
        <v>549</v>
      </c>
      <c r="B231" s="5" t="s">
        <v>154</v>
      </c>
      <c r="C231" s="5" t="s">
        <v>177</v>
      </c>
      <c r="D231" s="5" t="s">
        <v>550</v>
      </c>
      <c r="E231" s="5" t="s">
        <v>160</v>
      </c>
      <c r="F231" s="16" t="n">
        <v>330.999</v>
      </c>
      <c r="G231" s="16" t="n">
        <v>330.999</v>
      </c>
      <c r="H231" s="17" t="n">
        <f aca="false">F231-G231</f>
        <v>0</v>
      </c>
      <c r="I231" s="18" t="n">
        <f aca="false">IF(E231="MUS",H231/F231,"")</f>
        <v>0</v>
      </c>
    </row>
    <row r="232" customFormat="false" ht="15" hidden="false" customHeight="false" outlineLevel="0" collapsed="false">
      <c r="A232" s="5" t="s">
        <v>551</v>
      </c>
      <c r="B232" s="5" t="s">
        <v>154</v>
      </c>
      <c r="C232" s="5" t="s">
        <v>166</v>
      </c>
      <c r="D232" s="5" t="s">
        <v>193</v>
      </c>
      <c r="E232" s="5" t="s">
        <v>160</v>
      </c>
      <c r="F232" s="16" t="n">
        <v>870.666</v>
      </c>
      <c r="G232" s="16" t="n">
        <v>870.666</v>
      </c>
      <c r="H232" s="17" t="n">
        <f aca="false">F232-G232</f>
        <v>0</v>
      </c>
      <c r="I232" s="18" t="n">
        <f aca="false">IF(E232="MUS",H232/F232,"")</f>
        <v>0</v>
      </c>
    </row>
    <row r="233" customFormat="false" ht="15" hidden="false" customHeight="false" outlineLevel="0" collapsed="false">
      <c r="A233" s="5" t="s">
        <v>552</v>
      </c>
      <c r="B233" s="5" t="s">
        <v>154</v>
      </c>
      <c r="C233" s="5" t="s">
        <v>166</v>
      </c>
      <c r="D233" s="5" t="s">
        <v>553</v>
      </c>
      <c r="E233" s="5" t="s">
        <v>160</v>
      </c>
      <c r="F233" s="16" t="n">
        <v>667.826</v>
      </c>
      <c r="G233" s="16" t="n">
        <v>667.826</v>
      </c>
      <c r="H233" s="17" t="n">
        <f aca="false">F233-G233</f>
        <v>0</v>
      </c>
      <c r="I233" s="18" t="n">
        <f aca="false">IF(E233="MUS",H233/F233,"")</f>
        <v>0</v>
      </c>
    </row>
    <row r="234" customFormat="false" ht="15" hidden="false" customHeight="false" outlineLevel="0" collapsed="false">
      <c r="A234" s="5" t="s">
        <v>554</v>
      </c>
      <c r="B234" s="5" t="s">
        <v>154</v>
      </c>
      <c r="C234" s="5" t="s">
        <v>171</v>
      </c>
      <c r="D234" s="5" t="s">
        <v>347</v>
      </c>
      <c r="E234" s="5" t="s">
        <v>160</v>
      </c>
      <c r="F234" s="16" t="n">
        <v>22307.615</v>
      </c>
      <c r="G234" s="16" t="n">
        <v>22307.615</v>
      </c>
      <c r="H234" s="17" t="n">
        <f aca="false">F234-G234</f>
        <v>0</v>
      </c>
      <c r="I234" s="18" t="n">
        <f aca="false">IF(E234="MUS",H234/F234,"")</f>
        <v>0</v>
      </c>
    </row>
    <row r="235" customFormat="false" ht="15" hidden="false" customHeight="false" outlineLevel="0" collapsed="false">
      <c r="A235" s="5" t="s">
        <v>555</v>
      </c>
      <c r="B235" s="5" t="s">
        <v>154</v>
      </c>
      <c r="C235" s="5" t="s">
        <v>155</v>
      </c>
      <c r="D235" s="5" t="s">
        <v>556</v>
      </c>
      <c r="E235" s="5" t="s">
        <v>160</v>
      </c>
      <c r="F235" s="16" t="n">
        <v>12608.107</v>
      </c>
      <c r="G235" s="16" t="n">
        <v>12608.107</v>
      </c>
      <c r="H235" s="17" t="n">
        <f aca="false">F235-G235</f>
        <v>0</v>
      </c>
      <c r="I235" s="18" t="n">
        <f aca="false">IF(E235="MUS",H235/F235,"")</f>
        <v>0</v>
      </c>
    </row>
    <row r="236" customFormat="false" ht="15" hidden="false" customHeight="false" outlineLevel="0" collapsed="false">
      <c r="A236" s="5" t="s">
        <v>557</v>
      </c>
      <c r="B236" s="5" t="s">
        <v>154</v>
      </c>
      <c r="C236" s="5" t="s">
        <v>171</v>
      </c>
      <c r="D236" s="5" t="s">
        <v>390</v>
      </c>
      <c r="E236" s="5" t="s">
        <v>160</v>
      </c>
      <c r="F236" s="16" t="n">
        <v>971.156</v>
      </c>
      <c r="G236" s="16" t="n">
        <v>971.156</v>
      </c>
      <c r="H236" s="17" t="n">
        <f aca="false">F236-G236</f>
        <v>0</v>
      </c>
      <c r="I236" s="18" t="n">
        <f aca="false">IF(E236="MUS",H236/F236,"")</f>
        <v>0</v>
      </c>
    </row>
    <row r="237" customFormat="false" ht="15" hidden="false" customHeight="false" outlineLevel="0" collapsed="false">
      <c r="A237" s="5" t="s">
        <v>558</v>
      </c>
      <c r="B237" s="5" t="s">
        <v>154</v>
      </c>
      <c r="C237" s="5" t="s">
        <v>226</v>
      </c>
      <c r="D237" s="5" t="s">
        <v>559</v>
      </c>
      <c r="E237" s="5" t="s">
        <v>160</v>
      </c>
      <c r="F237" s="16" t="n">
        <v>77380.109</v>
      </c>
      <c r="G237" s="16" t="n">
        <v>77380.109</v>
      </c>
      <c r="H237" s="17" t="n">
        <f aca="false">F237-G237</f>
        <v>0</v>
      </c>
      <c r="I237" s="18" t="n">
        <f aca="false">IF(E237="MUS",H237/F237,"")</f>
        <v>0</v>
      </c>
    </row>
    <row r="238" customFormat="false" ht="15" hidden="false" customHeight="false" outlineLevel="0" collapsed="false">
      <c r="A238" s="5" t="s">
        <v>560</v>
      </c>
      <c r="B238" s="5" t="s">
        <v>154</v>
      </c>
      <c r="C238" s="5" t="s">
        <v>155</v>
      </c>
      <c r="D238" s="5" t="s">
        <v>561</v>
      </c>
      <c r="E238" s="5" t="s">
        <v>160</v>
      </c>
      <c r="F238" s="16" t="n">
        <v>4141.069</v>
      </c>
      <c r="G238" s="16" t="n">
        <v>4141.069</v>
      </c>
      <c r="H238" s="17" t="n">
        <f aca="false">F238-G238</f>
        <v>0</v>
      </c>
      <c r="I238" s="18" t="n">
        <f aca="false">IF(E238="MUS",H238/F238,"")</f>
        <v>0</v>
      </c>
    </row>
    <row r="239" customFormat="false" ht="15" hidden="false" customHeight="false" outlineLevel="0" collapsed="false">
      <c r="A239" s="5" t="s">
        <v>562</v>
      </c>
      <c r="B239" s="5" t="s">
        <v>154</v>
      </c>
      <c r="C239" s="5" t="s">
        <v>177</v>
      </c>
      <c r="D239" s="5" t="s">
        <v>468</v>
      </c>
      <c r="E239" s="5" t="s">
        <v>160</v>
      </c>
      <c r="F239" s="16" t="n">
        <v>338.779</v>
      </c>
      <c r="G239" s="16" t="n">
        <v>338.779</v>
      </c>
      <c r="H239" s="17" t="n">
        <f aca="false">F239-G239</f>
        <v>0</v>
      </c>
      <c r="I239" s="18" t="n">
        <f aca="false">IF(E239="MUS",H239/F239,"")</f>
        <v>0</v>
      </c>
    </row>
    <row r="240" customFormat="false" ht="15" hidden="false" customHeight="false" outlineLevel="0" collapsed="false">
      <c r="A240" s="5" t="s">
        <v>563</v>
      </c>
      <c r="B240" s="5" t="s">
        <v>154</v>
      </c>
      <c r="C240" s="5" t="s">
        <v>171</v>
      </c>
      <c r="D240" s="5" t="s">
        <v>263</v>
      </c>
      <c r="E240" s="5" t="s">
        <v>160</v>
      </c>
      <c r="F240" s="16" t="n">
        <v>271.637</v>
      </c>
      <c r="G240" s="16" t="n">
        <v>271.637</v>
      </c>
      <c r="H240" s="17" t="n">
        <f aca="false">F240-G240</f>
        <v>0</v>
      </c>
      <c r="I240" s="18" t="n">
        <f aca="false">IF(E240="MUS",H240/F240,"")</f>
        <v>0</v>
      </c>
    </row>
    <row r="241" customFormat="false" ht="15" hidden="false" customHeight="false" outlineLevel="0" collapsed="false">
      <c r="A241" s="5" t="s">
        <v>564</v>
      </c>
      <c r="B241" s="5" t="s">
        <v>211</v>
      </c>
      <c r="C241" s="5" t="s">
        <v>212</v>
      </c>
      <c r="D241" s="5" t="s">
        <v>213</v>
      </c>
      <c r="E241" s="5" t="s">
        <v>160</v>
      </c>
      <c r="F241" s="16" t="n">
        <v>405.221</v>
      </c>
      <c r="G241" s="16" t="n">
        <v>405.221</v>
      </c>
      <c r="H241" s="17" t="n">
        <f aca="false">F241-G241</f>
        <v>0</v>
      </c>
      <c r="I241" s="18" t="n">
        <f aca="false">IF(E241="MUS",H241/F241,"")</f>
        <v>0</v>
      </c>
    </row>
    <row r="242" customFormat="false" ht="15" hidden="false" customHeight="false" outlineLevel="0" collapsed="false">
      <c r="A242" s="5" t="s">
        <v>565</v>
      </c>
      <c r="B242" s="5" t="s">
        <v>154</v>
      </c>
      <c r="C242" s="5" t="s">
        <v>190</v>
      </c>
      <c r="D242" s="5" t="s">
        <v>191</v>
      </c>
      <c r="E242" s="5" t="s">
        <v>160</v>
      </c>
      <c r="F242" s="16" t="n">
        <v>569.205</v>
      </c>
      <c r="G242" s="16" t="n">
        <v>569.205</v>
      </c>
      <c r="H242" s="17" t="n">
        <f aca="false">F242-G242</f>
        <v>0</v>
      </c>
      <c r="I242" s="18" t="n">
        <f aca="false">IF(E242="MUS",H242/F242,"")</f>
        <v>0</v>
      </c>
    </row>
    <row r="243" customFormat="false" ht="15" hidden="false" customHeight="false" outlineLevel="0" collapsed="false">
      <c r="A243" s="5" t="s">
        <v>566</v>
      </c>
      <c r="B243" s="5" t="s">
        <v>154</v>
      </c>
      <c r="C243" s="5" t="s">
        <v>190</v>
      </c>
      <c r="D243" s="5" t="s">
        <v>567</v>
      </c>
      <c r="E243" s="5" t="s">
        <v>160</v>
      </c>
      <c r="F243" s="16" t="n">
        <v>262.488</v>
      </c>
      <c r="G243" s="16" t="n">
        <v>262.488</v>
      </c>
      <c r="H243" s="17" t="n">
        <f aca="false">F243-G243</f>
        <v>0</v>
      </c>
      <c r="I243" s="18" t="n">
        <f aca="false">IF(E243="MUS",H243/F243,"")</f>
        <v>0</v>
      </c>
    </row>
    <row r="244" customFormat="false" ht="15" hidden="false" customHeight="false" outlineLevel="0" collapsed="false">
      <c r="A244" s="5" t="s">
        <v>568</v>
      </c>
      <c r="B244" s="5" t="s">
        <v>154</v>
      </c>
      <c r="C244" s="5" t="s">
        <v>190</v>
      </c>
      <c r="D244" s="5" t="s">
        <v>569</v>
      </c>
      <c r="E244" s="5" t="s">
        <v>160</v>
      </c>
      <c r="F244" s="16" t="n">
        <v>53.584</v>
      </c>
      <c r="G244" s="16" t="n">
        <v>53.584</v>
      </c>
      <c r="H244" s="17" t="n">
        <f aca="false">F244-G244</f>
        <v>0</v>
      </c>
      <c r="I244" s="18" t="n">
        <f aca="false">IF(E244="MUS",H244/F244,"")</f>
        <v>0</v>
      </c>
    </row>
    <row r="245" customFormat="false" ht="15" hidden="false" customHeight="false" outlineLevel="0" collapsed="false">
      <c r="A245" s="5" t="s">
        <v>570</v>
      </c>
      <c r="B245" s="5" t="s">
        <v>154</v>
      </c>
      <c r="C245" s="5" t="s">
        <v>174</v>
      </c>
      <c r="D245" s="5" t="s">
        <v>571</v>
      </c>
      <c r="E245" s="5" t="s">
        <v>160</v>
      </c>
      <c r="F245" s="16" t="n">
        <v>130.748</v>
      </c>
      <c r="G245" s="16" t="n">
        <v>130.748</v>
      </c>
      <c r="H245" s="17" t="n">
        <f aca="false">F245-G245</f>
        <v>0</v>
      </c>
      <c r="I245" s="18" t="n">
        <f aca="false">IF(E245="MUS",H245/F245,"")</f>
        <v>0</v>
      </c>
    </row>
    <row r="246" customFormat="false" ht="15" hidden="false" customHeight="false" outlineLevel="0" collapsed="false">
      <c r="A246" s="5" t="s">
        <v>572</v>
      </c>
      <c r="B246" s="5" t="s">
        <v>154</v>
      </c>
      <c r="C246" s="5" t="s">
        <v>190</v>
      </c>
      <c r="D246" s="5" t="s">
        <v>470</v>
      </c>
      <c r="E246" s="5" t="s">
        <v>160</v>
      </c>
      <c r="F246" s="16" t="n">
        <v>248.239</v>
      </c>
      <c r="G246" s="16" t="n">
        <v>248.239</v>
      </c>
      <c r="H246" s="17" t="n">
        <f aca="false">F246-G246</f>
        <v>0</v>
      </c>
      <c r="I246" s="18" t="n">
        <f aca="false">IF(E246="MUS",H246/F246,"")</f>
        <v>0</v>
      </c>
    </row>
    <row r="247" customFormat="false" ht="15" hidden="false" customHeight="false" outlineLevel="0" collapsed="false">
      <c r="A247" s="5" t="s">
        <v>573</v>
      </c>
      <c r="B247" s="5" t="s">
        <v>154</v>
      </c>
      <c r="C247" s="5" t="s">
        <v>155</v>
      </c>
      <c r="D247" s="5" t="s">
        <v>538</v>
      </c>
      <c r="E247" s="5" t="s">
        <v>160</v>
      </c>
      <c r="F247" s="16" t="n">
        <v>69378.777</v>
      </c>
      <c r="G247" s="16" t="n">
        <v>69378.777</v>
      </c>
      <c r="H247" s="17" t="n">
        <f aca="false">F247-G247</f>
        <v>0</v>
      </c>
      <c r="I247" s="18" t="n">
        <f aca="false">IF(E247="MUS",H247/F247,"")</f>
        <v>0</v>
      </c>
    </row>
    <row r="248" customFormat="false" ht="15" hidden="false" customHeight="false" outlineLevel="0" collapsed="false">
      <c r="A248" s="5" t="s">
        <v>574</v>
      </c>
      <c r="B248" s="5" t="s">
        <v>154</v>
      </c>
      <c r="C248" s="5" t="s">
        <v>171</v>
      </c>
      <c r="D248" s="5" t="s">
        <v>575</v>
      </c>
      <c r="E248" s="5" t="s">
        <v>160</v>
      </c>
      <c r="F248" s="16" t="n">
        <v>1180.098</v>
      </c>
      <c r="G248" s="16" t="n">
        <v>1180.098</v>
      </c>
      <c r="H248" s="17" t="n">
        <f aca="false">F248-G248</f>
        <v>0</v>
      </c>
      <c r="I248" s="18" t="n">
        <f aca="false">IF(E248="MUS",H248/F248,"")</f>
        <v>0</v>
      </c>
    </row>
    <row r="249" customFormat="false" ht="15" hidden="false" customHeight="false" outlineLevel="0" collapsed="false">
      <c r="A249" s="5" t="s">
        <v>576</v>
      </c>
      <c r="B249" s="5" t="s">
        <v>154</v>
      </c>
      <c r="C249" s="5" t="s">
        <v>226</v>
      </c>
      <c r="D249" s="5" t="s">
        <v>577</v>
      </c>
      <c r="E249" s="5" t="s">
        <v>160</v>
      </c>
      <c r="F249" s="16" t="n">
        <v>42765.318</v>
      </c>
      <c r="G249" s="16" t="n">
        <v>42765.318</v>
      </c>
      <c r="H249" s="17" t="n">
        <f aca="false">F249-G249</f>
        <v>0</v>
      </c>
      <c r="I249" s="18" t="n">
        <f aca="false">IF(E249="MUS",H249/F249,"")</f>
        <v>0</v>
      </c>
    </row>
    <row r="250" customFormat="false" ht="15" hidden="false" customHeight="false" outlineLevel="0" collapsed="false">
      <c r="A250" s="5" t="s">
        <v>578</v>
      </c>
      <c r="B250" s="5" t="s">
        <v>154</v>
      </c>
      <c r="C250" s="5" t="s">
        <v>166</v>
      </c>
      <c r="D250" s="5" t="s">
        <v>450</v>
      </c>
      <c r="E250" s="5" t="s">
        <v>160</v>
      </c>
      <c r="F250" s="16" t="n">
        <v>278.58</v>
      </c>
      <c r="G250" s="16" t="n">
        <v>278.58</v>
      </c>
      <c r="H250" s="17" t="n">
        <f aca="false">F250-G250</f>
        <v>0</v>
      </c>
      <c r="I250" s="18" t="n">
        <f aca="false">IF(E250="MUS",H250/F250,"")</f>
        <v>0</v>
      </c>
    </row>
    <row r="251" customFormat="false" ht="15" hidden="false" customHeight="false" outlineLevel="0" collapsed="false">
      <c r="A251" s="5" t="s">
        <v>579</v>
      </c>
      <c r="B251" s="5" t="s">
        <v>154</v>
      </c>
      <c r="C251" s="5" t="s">
        <v>174</v>
      </c>
      <c r="D251" s="5" t="s">
        <v>580</v>
      </c>
      <c r="E251" s="5" t="s">
        <v>160</v>
      </c>
      <c r="F251" s="16" t="n">
        <v>161.789</v>
      </c>
      <c r="G251" s="16" t="n">
        <v>161.789</v>
      </c>
      <c r="H251" s="17" t="n">
        <f aca="false">F251-G251</f>
        <v>0</v>
      </c>
      <c r="I251" s="18" t="n">
        <f aca="false">IF(E251="MUS",H251/F251,"")</f>
        <v>0</v>
      </c>
    </row>
    <row r="252" customFormat="false" ht="15" hidden="false" customHeight="false" outlineLevel="0" collapsed="false">
      <c r="A252" s="5" t="s">
        <v>581</v>
      </c>
      <c r="B252" s="5" t="s">
        <v>154</v>
      </c>
      <c r="C252" s="5" t="s">
        <v>166</v>
      </c>
      <c r="D252" s="5" t="s">
        <v>582</v>
      </c>
      <c r="E252" s="5" t="s">
        <v>160</v>
      </c>
      <c r="F252" s="16" t="n">
        <v>375.101</v>
      </c>
      <c r="G252" s="16" t="n">
        <v>375.101</v>
      </c>
      <c r="H252" s="17" t="n">
        <f aca="false">F252-G252</f>
        <v>0</v>
      </c>
      <c r="I252" s="18" t="n">
        <f aca="false">IF(E252="MUS",H252/F252,"")</f>
        <v>0</v>
      </c>
    </row>
    <row r="253" customFormat="false" ht="15" hidden="false" customHeight="false" outlineLevel="0" collapsed="false">
      <c r="A253" s="5" t="s">
        <v>583</v>
      </c>
      <c r="B253" s="5" t="s">
        <v>154</v>
      </c>
      <c r="C253" s="5" t="s">
        <v>174</v>
      </c>
      <c r="D253" s="5" t="s">
        <v>580</v>
      </c>
      <c r="E253" s="5" t="s">
        <v>160</v>
      </c>
      <c r="F253" s="16" t="n">
        <v>323.859</v>
      </c>
      <c r="G253" s="16" t="n">
        <v>323.859</v>
      </c>
      <c r="H253" s="17" t="n">
        <f aca="false">F253-G253</f>
        <v>0</v>
      </c>
      <c r="I253" s="18" t="n">
        <f aca="false">IF(E253="MUS",H253/F253,"")</f>
        <v>0</v>
      </c>
    </row>
    <row r="254" customFormat="false" ht="15" hidden="false" customHeight="false" outlineLevel="0" collapsed="false">
      <c r="A254" s="5" t="s">
        <v>584</v>
      </c>
      <c r="B254" s="5" t="s">
        <v>154</v>
      </c>
      <c r="C254" s="5" t="s">
        <v>171</v>
      </c>
      <c r="D254" s="5" t="s">
        <v>254</v>
      </c>
      <c r="E254" s="5" t="s">
        <v>160</v>
      </c>
      <c r="F254" s="16" t="n">
        <v>1793.476</v>
      </c>
      <c r="G254" s="16" t="n">
        <v>1793.476</v>
      </c>
      <c r="H254" s="17" t="n">
        <f aca="false">F254-G254</f>
        <v>0</v>
      </c>
      <c r="I254" s="18" t="n">
        <f aca="false">IF(E254="MUS",H254/F254,"")</f>
        <v>0</v>
      </c>
    </row>
    <row r="255" customFormat="false" ht="15" hidden="false" customHeight="false" outlineLevel="0" collapsed="false">
      <c r="A255" s="5" t="s">
        <v>585</v>
      </c>
      <c r="B255" s="5" t="s">
        <v>154</v>
      </c>
      <c r="C255" s="5" t="s">
        <v>166</v>
      </c>
      <c r="D255" s="5" t="s">
        <v>553</v>
      </c>
      <c r="E255" s="5" t="s">
        <v>160</v>
      </c>
      <c r="F255" s="16" t="n">
        <v>202.739</v>
      </c>
      <c r="G255" s="16" t="n">
        <v>202.739</v>
      </c>
      <c r="H255" s="17" t="n">
        <f aca="false">F255-G255</f>
        <v>0</v>
      </c>
      <c r="I255" s="18" t="n">
        <f aca="false">IF(E255="MUS",H255/F255,"")</f>
        <v>0</v>
      </c>
    </row>
    <row r="256" customFormat="false" ht="15" hidden="false" customHeight="false" outlineLevel="0" collapsed="false">
      <c r="A256" s="5" t="s">
        <v>586</v>
      </c>
      <c r="B256" s="5" t="s">
        <v>154</v>
      </c>
      <c r="C256" s="5" t="s">
        <v>171</v>
      </c>
      <c r="D256" s="5" t="s">
        <v>587</v>
      </c>
      <c r="E256" s="5" t="s">
        <v>160</v>
      </c>
      <c r="F256" s="16" t="n">
        <v>806.726</v>
      </c>
      <c r="G256" s="16" t="n">
        <v>806.726</v>
      </c>
      <c r="H256" s="17" t="n">
        <f aca="false">F256-G256</f>
        <v>0</v>
      </c>
      <c r="I256" s="18" t="n">
        <f aca="false">IF(E256="MUS",H256/F256,"")</f>
        <v>0</v>
      </c>
    </row>
    <row r="257" customFormat="false" ht="15" hidden="false" customHeight="false" outlineLevel="0" collapsed="false">
      <c r="A257" s="5" t="s">
        <v>588</v>
      </c>
      <c r="B257" s="5" t="s">
        <v>154</v>
      </c>
      <c r="C257" s="5" t="s">
        <v>166</v>
      </c>
      <c r="D257" s="5" t="s">
        <v>589</v>
      </c>
      <c r="E257" s="5" t="s">
        <v>160</v>
      </c>
      <c r="F257" s="16" t="n">
        <v>3666.559</v>
      </c>
      <c r="G257" s="16" t="n">
        <v>3666.559</v>
      </c>
      <c r="H257" s="17" t="n">
        <f aca="false">F257-G257</f>
        <v>0</v>
      </c>
      <c r="I257" s="18" t="n">
        <f aca="false">IF(E257="MUS",H257/F257,"")</f>
        <v>0</v>
      </c>
    </row>
    <row r="258" customFormat="false" ht="15" hidden="false" customHeight="false" outlineLevel="0" collapsed="false">
      <c r="A258" s="5" t="s">
        <v>590</v>
      </c>
      <c r="B258" s="5" t="s">
        <v>154</v>
      </c>
      <c r="C258" s="5" t="s">
        <v>155</v>
      </c>
      <c r="D258" s="5" t="s">
        <v>591</v>
      </c>
      <c r="E258" s="5" t="s">
        <v>160</v>
      </c>
      <c r="F258" s="16" t="n">
        <v>4514.432</v>
      </c>
      <c r="G258" s="16" t="n">
        <v>4514.432</v>
      </c>
      <c r="H258" s="17" t="n">
        <f aca="false">F258-G258</f>
        <v>0</v>
      </c>
      <c r="I258" s="18" t="n">
        <f aca="false">IF(E258="MUS",H258/F258,"")</f>
        <v>0</v>
      </c>
    </row>
    <row r="259" customFormat="false" ht="15" hidden="false" customHeight="false" outlineLevel="0" collapsed="false">
      <c r="A259" s="5" t="s">
        <v>592</v>
      </c>
      <c r="B259" s="5" t="s">
        <v>154</v>
      </c>
      <c r="C259" s="5" t="s">
        <v>190</v>
      </c>
      <c r="D259" s="5" t="s">
        <v>172</v>
      </c>
      <c r="E259" s="5" t="s">
        <v>160</v>
      </c>
      <c r="F259" s="16" t="n">
        <v>869.54</v>
      </c>
      <c r="G259" s="16" t="n">
        <v>869.54</v>
      </c>
      <c r="H259" s="17" t="n">
        <f aca="false">F259-G259</f>
        <v>0</v>
      </c>
      <c r="I259" s="18" t="n">
        <f aca="false">IF(E259="MUS",H259/F259,"")</f>
        <v>0</v>
      </c>
    </row>
    <row r="260" customFormat="false" ht="15" hidden="false" customHeight="false" outlineLevel="0" collapsed="false">
      <c r="A260" s="5" t="s">
        <v>593</v>
      </c>
      <c r="B260" s="5" t="s">
        <v>154</v>
      </c>
      <c r="C260" s="5" t="s">
        <v>190</v>
      </c>
      <c r="D260" s="5" t="s">
        <v>594</v>
      </c>
      <c r="E260" s="5" t="s">
        <v>160</v>
      </c>
      <c r="F260" s="16" t="n">
        <v>655.745</v>
      </c>
      <c r="G260" s="16" t="n">
        <v>655.745</v>
      </c>
      <c r="H260" s="17" t="n">
        <f aca="false">F260-G260</f>
        <v>0</v>
      </c>
      <c r="I260" s="18" t="n">
        <f aca="false">IF(E260="MUS",H260/F260,"")</f>
        <v>0</v>
      </c>
    </row>
    <row r="261" customFormat="false" ht="15" hidden="false" customHeight="false" outlineLevel="0" collapsed="false">
      <c r="A261" s="5" t="s">
        <v>595</v>
      </c>
      <c r="B261" s="5" t="s">
        <v>154</v>
      </c>
      <c r="C261" s="5" t="s">
        <v>190</v>
      </c>
      <c r="D261" s="5" t="s">
        <v>596</v>
      </c>
      <c r="E261" s="5" t="s">
        <v>160</v>
      </c>
      <c r="F261" s="16" t="n">
        <v>183.47</v>
      </c>
      <c r="G261" s="16" t="n">
        <v>183.47</v>
      </c>
      <c r="H261" s="17" t="n">
        <f aca="false">F261-G261</f>
        <v>0</v>
      </c>
      <c r="I261" s="18" t="n">
        <f aca="false">IF(E261="MUS",H261/F261,"")</f>
        <v>0</v>
      </c>
    </row>
    <row r="262" customFormat="false" ht="15" hidden="false" customHeight="false" outlineLevel="0" collapsed="false">
      <c r="A262" s="5" t="s">
        <v>597</v>
      </c>
      <c r="B262" s="5" t="s">
        <v>154</v>
      </c>
      <c r="C262" s="5" t="s">
        <v>171</v>
      </c>
      <c r="D262" s="5" t="s">
        <v>424</v>
      </c>
      <c r="E262" s="5" t="s">
        <v>160</v>
      </c>
      <c r="F262" s="16" t="n">
        <v>2802.74</v>
      </c>
      <c r="G262" s="16" t="n">
        <v>2802.74</v>
      </c>
      <c r="H262" s="17" t="n">
        <f aca="false">F262-G262</f>
        <v>0</v>
      </c>
      <c r="I262" s="18" t="n">
        <f aca="false">IF(E262="MUS",H262/F262,"")</f>
        <v>0</v>
      </c>
    </row>
    <row r="263" customFormat="false" ht="15" hidden="false" customHeight="false" outlineLevel="0" collapsed="false">
      <c r="A263" s="5" t="s">
        <v>598</v>
      </c>
      <c r="B263" s="5" t="s">
        <v>154</v>
      </c>
      <c r="C263" s="5" t="s">
        <v>190</v>
      </c>
      <c r="D263" s="5" t="s">
        <v>379</v>
      </c>
      <c r="E263" s="5" t="s">
        <v>160</v>
      </c>
      <c r="F263" s="16" t="n">
        <v>211.193</v>
      </c>
      <c r="G263" s="16" t="n">
        <v>211.193</v>
      </c>
      <c r="H263" s="17" t="n">
        <f aca="false">F263-G263</f>
        <v>0</v>
      </c>
      <c r="I263" s="18" t="n">
        <f aca="false">IF(E263="MUS",H263/F263,"")</f>
        <v>0</v>
      </c>
    </row>
    <row r="264" customFormat="false" ht="15" hidden="false" customHeight="false" outlineLevel="0" collapsed="false">
      <c r="A264" s="5" t="s">
        <v>599</v>
      </c>
      <c r="B264" s="5" t="s">
        <v>154</v>
      </c>
      <c r="C264" s="5" t="s">
        <v>226</v>
      </c>
      <c r="D264" s="5" t="s">
        <v>600</v>
      </c>
      <c r="E264" s="5" t="s">
        <v>160</v>
      </c>
      <c r="F264" s="16" t="n">
        <v>33768.292</v>
      </c>
      <c r="G264" s="16" t="n">
        <v>33768.292</v>
      </c>
      <c r="H264" s="17" t="n">
        <f aca="false">F264-G264</f>
        <v>0</v>
      </c>
      <c r="I264" s="18" t="n">
        <f aca="false">IF(E264="MUS",H264/F264,"")</f>
        <v>0</v>
      </c>
    </row>
    <row r="265" customFormat="false" ht="15" hidden="false" customHeight="false" outlineLevel="0" collapsed="false">
      <c r="A265" s="5" t="s">
        <v>601</v>
      </c>
      <c r="B265" s="5" t="s">
        <v>154</v>
      </c>
      <c r="C265" s="5" t="s">
        <v>171</v>
      </c>
      <c r="D265" s="5" t="s">
        <v>602</v>
      </c>
      <c r="E265" s="5" t="s">
        <v>160</v>
      </c>
      <c r="F265" s="16" t="n">
        <v>299.268</v>
      </c>
      <c r="G265" s="16" t="n">
        <v>299.268</v>
      </c>
      <c r="H265" s="17" t="n">
        <f aca="false">F265-G265</f>
        <v>0</v>
      </c>
      <c r="I265" s="18" t="n">
        <f aca="false">IF(E265="MUS",H265/F265,"")</f>
        <v>0</v>
      </c>
    </row>
    <row r="266" customFormat="false" ht="15" hidden="false" customHeight="false" outlineLevel="0" collapsed="false">
      <c r="A266" s="5" t="s">
        <v>603</v>
      </c>
      <c r="B266" s="5" t="s">
        <v>154</v>
      </c>
      <c r="C266" s="5" t="s">
        <v>155</v>
      </c>
      <c r="D266" s="5" t="s">
        <v>604</v>
      </c>
      <c r="E266" s="5" t="s">
        <v>160</v>
      </c>
      <c r="F266" s="16" t="n">
        <v>39869.293</v>
      </c>
      <c r="G266" s="16" t="n">
        <v>39869.293</v>
      </c>
      <c r="H266" s="17" t="n">
        <f aca="false">F266-G266</f>
        <v>0</v>
      </c>
      <c r="I266" s="18" t="n">
        <f aca="false">IF(E266="MUS",H266/F266,"")</f>
        <v>0</v>
      </c>
    </row>
    <row r="267" customFormat="false" ht="15" hidden="false" customHeight="false" outlineLevel="0" collapsed="false">
      <c r="A267" s="5" t="s">
        <v>605</v>
      </c>
      <c r="B267" s="5" t="s">
        <v>154</v>
      </c>
      <c r="C267" s="5" t="s">
        <v>166</v>
      </c>
      <c r="D267" s="5" t="s">
        <v>606</v>
      </c>
      <c r="E267" s="5" t="s">
        <v>160</v>
      </c>
      <c r="F267" s="16" t="n">
        <v>5477.989</v>
      </c>
      <c r="G267" s="16" t="n">
        <v>5477.989</v>
      </c>
      <c r="H267" s="17" t="n">
        <f aca="false">F267-G267</f>
        <v>0</v>
      </c>
      <c r="I267" s="18" t="n">
        <f aca="false">IF(E267="MUS",H267/F267,"")</f>
        <v>0</v>
      </c>
    </row>
    <row r="268" customFormat="false" ht="15" hidden="false" customHeight="false" outlineLevel="0" collapsed="false">
      <c r="A268" s="5" t="s">
        <v>607</v>
      </c>
      <c r="B268" s="5" t="s">
        <v>154</v>
      </c>
      <c r="C268" s="5" t="s">
        <v>171</v>
      </c>
      <c r="D268" s="5" t="s">
        <v>252</v>
      </c>
      <c r="E268" s="5" t="s">
        <v>160</v>
      </c>
      <c r="F268" s="16" t="n">
        <v>4796.908</v>
      </c>
      <c r="G268" s="16" t="n">
        <v>4796.908</v>
      </c>
      <c r="H268" s="17" t="n">
        <f aca="false">F268-G268</f>
        <v>0</v>
      </c>
      <c r="I268" s="18" t="n">
        <f aca="false">IF(E268="MUS",H268/F268,"")</f>
        <v>0</v>
      </c>
    </row>
    <row r="269" customFormat="false" ht="15" hidden="false" customHeight="false" outlineLevel="0" collapsed="false">
      <c r="A269" s="5" t="s">
        <v>608</v>
      </c>
      <c r="B269" s="5" t="s">
        <v>154</v>
      </c>
      <c r="C269" s="5" t="s">
        <v>166</v>
      </c>
      <c r="D269" s="5" t="s">
        <v>609</v>
      </c>
      <c r="E269" s="5" t="s">
        <v>160</v>
      </c>
      <c r="F269" s="16" t="n">
        <v>1194.228</v>
      </c>
      <c r="G269" s="16" t="n">
        <v>1194.228</v>
      </c>
      <c r="H269" s="17" t="n">
        <f aca="false">F269-G269</f>
        <v>0</v>
      </c>
      <c r="I269" s="18" t="n">
        <f aca="false">IF(E269="MUS",H269/F269,"")</f>
        <v>0</v>
      </c>
    </row>
    <row r="270" customFormat="false" ht="15" hidden="false" customHeight="false" outlineLevel="0" collapsed="false">
      <c r="A270" s="5" t="s">
        <v>610</v>
      </c>
      <c r="B270" s="5" t="s">
        <v>154</v>
      </c>
      <c r="C270" s="5" t="s">
        <v>171</v>
      </c>
      <c r="D270" s="5" t="s">
        <v>611</v>
      </c>
      <c r="E270" s="5" t="s">
        <v>160</v>
      </c>
      <c r="F270" s="16" t="n">
        <v>1611.484</v>
      </c>
      <c r="G270" s="16" t="n">
        <v>1611.484</v>
      </c>
      <c r="H270" s="17" t="n">
        <f aca="false">F270-G270</f>
        <v>0</v>
      </c>
      <c r="I270" s="18" t="n">
        <f aca="false">IF(E270="MUS",H270/F270,"")</f>
        <v>0</v>
      </c>
    </row>
    <row r="271" customFormat="false" ht="15" hidden="false" customHeight="false" outlineLevel="0" collapsed="false">
      <c r="A271" s="5" t="s">
        <v>612</v>
      </c>
      <c r="B271" s="5" t="s">
        <v>154</v>
      </c>
      <c r="C271" s="5" t="s">
        <v>190</v>
      </c>
      <c r="D271" s="5" t="s">
        <v>327</v>
      </c>
      <c r="E271" s="5" t="s">
        <v>160</v>
      </c>
      <c r="F271" s="16" t="n">
        <v>125.402</v>
      </c>
      <c r="G271" s="16" t="n">
        <v>125.402</v>
      </c>
      <c r="H271" s="17" t="n">
        <f aca="false">F271-G271</f>
        <v>0</v>
      </c>
      <c r="I271" s="18" t="n">
        <f aca="false">IF(E271="MUS",H271/F271,"")</f>
        <v>0</v>
      </c>
    </row>
    <row r="272" customFormat="false" ht="15" hidden="false" customHeight="false" outlineLevel="0" collapsed="false">
      <c r="A272" s="5" t="s">
        <v>613</v>
      </c>
      <c r="B272" s="5" t="s">
        <v>154</v>
      </c>
      <c r="C272" s="5" t="s">
        <v>155</v>
      </c>
      <c r="D272" s="5" t="s">
        <v>321</v>
      </c>
      <c r="E272" s="5" t="s">
        <v>160</v>
      </c>
      <c r="F272" s="16" t="n">
        <v>13220.799</v>
      </c>
      <c r="G272" s="16" t="n">
        <v>13220.799</v>
      </c>
      <c r="H272" s="17" t="n">
        <f aca="false">F272-G272</f>
        <v>0</v>
      </c>
      <c r="I272" s="18" t="n">
        <f aca="false">IF(E272="MUS",H272/F272,"")</f>
        <v>0</v>
      </c>
    </row>
    <row r="273" customFormat="false" ht="15" hidden="false" customHeight="false" outlineLevel="0" collapsed="false">
      <c r="A273" s="5" t="s">
        <v>614</v>
      </c>
      <c r="B273" s="5" t="s">
        <v>154</v>
      </c>
      <c r="C273" s="5" t="s">
        <v>174</v>
      </c>
      <c r="D273" s="5" t="s">
        <v>301</v>
      </c>
      <c r="E273" s="5" t="s">
        <v>160</v>
      </c>
      <c r="F273" s="16" t="n">
        <v>21.665</v>
      </c>
      <c r="G273" s="16" t="n">
        <v>21.665</v>
      </c>
      <c r="H273" s="17" t="n">
        <f aca="false">F273-G273</f>
        <v>0</v>
      </c>
      <c r="I273" s="18" t="n">
        <f aca="false">IF(E273="MUS",H273/F273,"")</f>
        <v>0</v>
      </c>
    </row>
    <row r="274" customFormat="false" ht="15" hidden="false" customHeight="false" outlineLevel="0" collapsed="false">
      <c r="A274" s="5" t="s">
        <v>615</v>
      </c>
      <c r="B274" s="5" t="s">
        <v>211</v>
      </c>
      <c r="C274" s="5" t="s">
        <v>212</v>
      </c>
      <c r="D274" s="5" t="s">
        <v>213</v>
      </c>
      <c r="E274" s="5" t="s">
        <v>160</v>
      </c>
      <c r="F274" s="16" t="n">
        <v>981.721</v>
      </c>
      <c r="G274" s="16" t="n">
        <v>981.721</v>
      </c>
      <c r="H274" s="17" t="n">
        <f aca="false">F274-G274</f>
        <v>0</v>
      </c>
      <c r="I274" s="18" t="n">
        <f aca="false">IF(E274="MUS",H274/F274,"")</f>
        <v>0</v>
      </c>
    </row>
    <row r="275" customFormat="false" ht="15" hidden="false" customHeight="false" outlineLevel="0" collapsed="false">
      <c r="A275" s="5" t="s">
        <v>616</v>
      </c>
      <c r="B275" s="5" t="s">
        <v>154</v>
      </c>
      <c r="C275" s="5" t="s">
        <v>174</v>
      </c>
      <c r="D275" s="5" t="s">
        <v>478</v>
      </c>
      <c r="E275" s="5" t="s">
        <v>160</v>
      </c>
      <c r="F275" s="16" t="n">
        <v>209.713</v>
      </c>
      <c r="G275" s="16" t="n">
        <v>209.713</v>
      </c>
      <c r="H275" s="17" t="n">
        <f aca="false">F275-G275</f>
        <v>0</v>
      </c>
      <c r="I275" s="18" t="n">
        <f aca="false">IF(E275="MUS",H275/F275,"")</f>
        <v>0</v>
      </c>
    </row>
    <row r="276" customFormat="false" ht="15" hidden="false" customHeight="false" outlineLevel="0" collapsed="false">
      <c r="A276" s="5" t="s">
        <v>617</v>
      </c>
      <c r="B276" s="5" t="s">
        <v>154</v>
      </c>
      <c r="C276" s="5" t="s">
        <v>226</v>
      </c>
      <c r="D276" s="5" t="s">
        <v>618</v>
      </c>
      <c r="E276" s="5" t="s">
        <v>160</v>
      </c>
      <c r="F276" s="16" t="n">
        <v>4303.099</v>
      </c>
      <c r="G276" s="16" t="n">
        <v>4303.099</v>
      </c>
      <c r="H276" s="17" t="n">
        <f aca="false">F276-G276</f>
        <v>0</v>
      </c>
      <c r="I276" s="18" t="n">
        <f aca="false">IF(E276="MUS",H276/F276,"")</f>
        <v>0</v>
      </c>
    </row>
    <row r="277" customFormat="false" ht="15" hidden="false" customHeight="false" outlineLevel="0" collapsed="false">
      <c r="A277" s="5" t="s">
        <v>619</v>
      </c>
      <c r="B277" s="5" t="s">
        <v>154</v>
      </c>
      <c r="C277" s="5" t="s">
        <v>155</v>
      </c>
      <c r="D277" s="5" t="s">
        <v>259</v>
      </c>
      <c r="E277" s="5" t="s">
        <v>160</v>
      </c>
      <c r="F277" s="16" t="n">
        <v>1629.052</v>
      </c>
      <c r="G277" s="16" t="n">
        <v>1629.052</v>
      </c>
      <c r="H277" s="17" t="n">
        <f aca="false">F277-G277</f>
        <v>0</v>
      </c>
      <c r="I277" s="18" t="n">
        <f aca="false">IF(E277="MUS",H277/F277,"")</f>
        <v>0</v>
      </c>
    </row>
    <row r="278" customFormat="false" ht="15" hidden="false" customHeight="false" outlineLevel="0" collapsed="false">
      <c r="A278" s="5" t="s">
        <v>620</v>
      </c>
      <c r="B278" s="5" t="s">
        <v>154</v>
      </c>
      <c r="C278" s="5" t="s">
        <v>155</v>
      </c>
      <c r="D278" s="5" t="s">
        <v>520</v>
      </c>
      <c r="E278" s="5" t="s">
        <v>160</v>
      </c>
      <c r="F278" s="16" t="n">
        <v>3860.452</v>
      </c>
      <c r="G278" s="16" t="n">
        <v>3860.452</v>
      </c>
      <c r="H278" s="17" t="n">
        <f aca="false">F278-G278</f>
        <v>0</v>
      </c>
      <c r="I278" s="18" t="n">
        <f aca="false">IF(E278="MUS",H278/F278,"")</f>
        <v>0</v>
      </c>
    </row>
    <row r="279" customFormat="false" ht="15" hidden="false" customHeight="false" outlineLevel="0" collapsed="false">
      <c r="A279" s="5" t="s">
        <v>621</v>
      </c>
      <c r="B279" s="5" t="s">
        <v>154</v>
      </c>
      <c r="C279" s="5" t="s">
        <v>155</v>
      </c>
      <c r="D279" s="5" t="s">
        <v>622</v>
      </c>
      <c r="E279" s="5" t="s">
        <v>160</v>
      </c>
      <c r="F279" s="16" t="n">
        <v>57983.278</v>
      </c>
      <c r="G279" s="16" t="n">
        <v>57983.278</v>
      </c>
      <c r="H279" s="17" t="n">
        <f aca="false">F279-G279</f>
        <v>0</v>
      </c>
      <c r="I279" s="18" t="n">
        <f aca="false">IF(E279="MUS",H279/F279,"")</f>
        <v>0</v>
      </c>
    </row>
    <row r="280" customFormat="false" ht="15" hidden="false" customHeight="false" outlineLevel="0" collapsed="false">
      <c r="A280" s="5" t="s">
        <v>623</v>
      </c>
      <c r="B280" s="5" t="s">
        <v>154</v>
      </c>
      <c r="C280" s="5" t="s">
        <v>171</v>
      </c>
      <c r="D280" s="5" t="s">
        <v>624</v>
      </c>
      <c r="E280" s="5" t="s">
        <v>160</v>
      </c>
      <c r="F280" s="16" t="n">
        <v>2312.858</v>
      </c>
      <c r="G280" s="16" t="n">
        <v>2312.858</v>
      </c>
      <c r="H280" s="17" t="n">
        <f aca="false">F280-G280</f>
        <v>0</v>
      </c>
      <c r="I280" s="18" t="n">
        <f aca="false">IF(E280="MUS",H280/F280,"")</f>
        <v>0</v>
      </c>
    </row>
    <row r="281" customFormat="false" ht="15" hidden="false" customHeight="false" outlineLevel="0" collapsed="false">
      <c r="A281" s="5" t="s">
        <v>625</v>
      </c>
      <c r="B281" s="5" t="s">
        <v>211</v>
      </c>
      <c r="C281" s="5" t="s">
        <v>212</v>
      </c>
      <c r="D281" s="5" t="s">
        <v>213</v>
      </c>
      <c r="E281" s="5" t="s">
        <v>160</v>
      </c>
      <c r="F281" s="16" t="n">
        <v>136.138</v>
      </c>
      <c r="G281" s="16" t="n">
        <v>136.138</v>
      </c>
      <c r="H281" s="17" t="n">
        <f aca="false">F281-G281</f>
        <v>0</v>
      </c>
      <c r="I281" s="18" t="n">
        <f aca="false">IF(E281="MUS",H281/F281,"")</f>
        <v>0</v>
      </c>
    </row>
    <row r="282" customFormat="false" ht="15" hidden="false" customHeight="false" outlineLevel="0" collapsed="false">
      <c r="A282" s="5" t="s">
        <v>626</v>
      </c>
      <c r="B282" s="5" t="s">
        <v>154</v>
      </c>
      <c r="C282" s="5" t="s">
        <v>166</v>
      </c>
      <c r="D282" s="5" t="s">
        <v>627</v>
      </c>
      <c r="E282" s="5" t="s">
        <v>160</v>
      </c>
      <c r="F282" s="16" t="n">
        <v>482.409</v>
      </c>
      <c r="G282" s="16" t="n">
        <v>482.409</v>
      </c>
      <c r="H282" s="17" t="n">
        <f aca="false">F282-G282</f>
        <v>0</v>
      </c>
      <c r="I282" s="18" t="n">
        <f aca="false">IF(E282="MUS",H282/F282,"")</f>
        <v>0</v>
      </c>
    </row>
    <row r="283" customFormat="false" ht="15" hidden="false" customHeight="false" outlineLevel="0" collapsed="false">
      <c r="A283" s="5" t="s">
        <v>628</v>
      </c>
      <c r="B283" s="5" t="s">
        <v>154</v>
      </c>
      <c r="C283" s="5" t="s">
        <v>155</v>
      </c>
      <c r="D283" s="5" t="s">
        <v>582</v>
      </c>
      <c r="E283" s="5" t="s">
        <v>160</v>
      </c>
      <c r="F283" s="16" t="n">
        <v>8705.063</v>
      </c>
      <c r="G283" s="16" t="n">
        <v>8705.063</v>
      </c>
      <c r="H283" s="17" t="n">
        <f aca="false">F283-G283</f>
        <v>0</v>
      </c>
      <c r="I283" s="18" t="n">
        <f aca="false">IF(E283="MUS",H283/F283,"")</f>
        <v>0</v>
      </c>
    </row>
    <row r="284" customFormat="false" ht="15" hidden="false" customHeight="false" outlineLevel="0" collapsed="false">
      <c r="A284" s="5" t="s">
        <v>629</v>
      </c>
      <c r="B284" s="5" t="s">
        <v>154</v>
      </c>
      <c r="C284" s="5" t="s">
        <v>171</v>
      </c>
      <c r="D284" s="5" t="s">
        <v>323</v>
      </c>
      <c r="E284" s="5" t="s">
        <v>160</v>
      </c>
      <c r="F284" s="16" t="n">
        <v>1029.302</v>
      </c>
      <c r="G284" s="16" t="n">
        <v>1029.302</v>
      </c>
      <c r="H284" s="17" t="n">
        <f aca="false">F284-G284</f>
        <v>0</v>
      </c>
      <c r="I284" s="18" t="n">
        <f aca="false">IF(E284="MUS",H284/F284,"")</f>
        <v>0</v>
      </c>
    </row>
    <row r="285" customFormat="false" ht="15" hidden="false" customHeight="false" outlineLevel="0" collapsed="false">
      <c r="A285" s="5" t="s">
        <v>630</v>
      </c>
      <c r="B285" s="5" t="s">
        <v>154</v>
      </c>
      <c r="C285" s="5" t="s">
        <v>171</v>
      </c>
      <c r="D285" s="5" t="s">
        <v>280</v>
      </c>
      <c r="E285" s="5" t="s">
        <v>160</v>
      </c>
      <c r="F285" s="16" t="n">
        <v>825.296</v>
      </c>
      <c r="G285" s="16" t="n">
        <v>825.296</v>
      </c>
      <c r="H285" s="17" t="n">
        <f aca="false">F285-G285</f>
        <v>0</v>
      </c>
      <c r="I285" s="18" t="n">
        <f aca="false">IF(E285="MUS",H285/F285,"")</f>
        <v>0</v>
      </c>
    </row>
    <row r="286" customFormat="false" ht="15" hidden="false" customHeight="false" outlineLevel="0" collapsed="false">
      <c r="A286" s="5" t="s">
        <v>631</v>
      </c>
      <c r="B286" s="5" t="s">
        <v>154</v>
      </c>
      <c r="C286" s="5" t="s">
        <v>226</v>
      </c>
      <c r="D286" s="5" t="s">
        <v>352</v>
      </c>
      <c r="E286" s="5" t="s">
        <v>160</v>
      </c>
      <c r="F286" s="16" t="n">
        <v>9556.11</v>
      </c>
      <c r="G286" s="16" t="n">
        <v>9556.11</v>
      </c>
      <c r="H286" s="17" t="n">
        <f aca="false">F286-G286</f>
        <v>0</v>
      </c>
      <c r="I286" s="18" t="n">
        <f aca="false">IF(E286="MUS",H286/F286,"")</f>
        <v>0</v>
      </c>
    </row>
    <row r="287" customFormat="false" ht="15" hidden="false" customHeight="false" outlineLevel="0" collapsed="false">
      <c r="A287" s="5" t="s">
        <v>632</v>
      </c>
      <c r="B287" s="5" t="s">
        <v>154</v>
      </c>
      <c r="C287" s="5" t="s">
        <v>166</v>
      </c>
      <c r="D287" s="5" t="s">
        <v>633</v>
      </c>
      <c r="E287" s="5" t="s">
        <v>160</v>
      </c>
      <c r="F287" s="16" t="n">
        <v>1873.57</v>
      </c>
      <c r="G287" s="16" t="n">
        <v>1873.57</v>
      </c>
      <c r="H287" s="17" t="n">
        <f aca="false">F287-G287</f>
        <v>0</v>
      </c>
      <c r="I287" s="18" t="n">
        <f aca="false">IF(E287="MUS",H287/F287,"")</f>
        <v>0</v>
      </c>
    </row>
    <row r="288" customFormat="false" ht="15" hidden="false" customHeight="false" outlineLevel="0" collapsed="false">
      <c r="A288" s="5" t="s">
        <v>634</v>
      </c>
      <c r="B288" s="5" t="s">
        <v>154</v>
      </c>
      <c r="C288" s="5" t="s">
        <v>166</v>
      </c>
      <c r="D288" s="5" t="s">
        <v>635</v>
      </c>
      <c r="E288" s="5" t="s">
        <v>160</v>
      </c>
      <c r="F288" s="16" t="n">
        <v>1955.917</v>
      </c>
      <c r="G288" s="16" t="n">
        <v>1955.917</v>
      </c>
      <c r="H288" s="17" t="n">
        <f aca="false">F288-G288</f>
        <v>0</v>
      </c>
      <c r="I288" s="18" t="n">
        <f aca="false">IF(E288="MUS",H288/F288,"")</f>
        <v>0</v>
      </c>
    </row>
    <row r="289" customFormat="false" ht="15" hidden="false" customHeight="false" outlineLevel="0" collapsed="false">
      <c r="A289" s="5" t="s">
        <v>636</v>
      </c>
      <c r="B289" s="5" t="s">
        <v>154</v>
      </c>
      <c r="C289" s="5" t="s">
        <v>155</v>
      </c>
      <c r="D289" s="5" t="s">
        <v>502</v>
      </c>
      <c r="E289" s="5" t="s">
        <v>160</v>
      </c>
      <c r="F289" s="16" t="n">
        <v>5973.996</v>
      </c>
      <c r="G289" s="16" t="n">
        <v>5973.996</v>
      </c>
      <c r="H289" s="17" t="n">
        <f aca="false">F289-G289</f>
        <v>0</v>
      </c>
      <c r="I289" s="18" t="n">
        <f aca="false">IF(E289="MUS",H289/F289,"")</f>
        <v>0</v>
      </c>
    </row>
    <row r="290" customFormat="false" ht="15" hidden="false" customHeight="false" outlineLevel="0" collapsed="false">
      <c r="A290" s="5" t="s">
        <v>637</v>
      </c>
      <c r="B290" s="5" t="s">
        <v>154</v>
      </c>
      <c r="C290" s="5" t="s">
        <v>166</v>
      </c>
      <c r="D290" s="5" t="s">
        <v>222</v>
      </c>
      <c r="E290" s="5" t="s">
        <v>160</v>
      </c>
      <c r="F290" s="16" t="n">
        <v>15845.472</v>
      </c>
      <c r="G290" s="16" t="n">
        <v>15845.472</v>
      </c>
      <c r="H290" s="17" t="n">
        <f aca="false">F290-G290</f>
        <v>0</v>
      </c>
      <c r="I290" s="18" t="n">
        <f aca="false">IF(E290="MUS",H290/F290,"")</f>
        <v>0</v>
      </c>
    </row>
    <row r="291" customFormat="false" ht="15" hidden="false" customHeight="false" outlineLevel="0" collapsed="false">
      <c r="A291" s="5" t="s">
        <v>638</v>
      </c>
      <c r="B291" s="5" t="s">
        <v>154</v>
      </c>
      <c r="C291" s="5" t="s">
        <v>166</v>
      </c>
      <c r="D291" s="5" t="s">
        <v>442</v>
      </c>
      <c r="E291" s="5" t="s">
        <v>160</v>
      </c>
      <c r="F291" s="16" t="n">
        <v>1525.371</v>
      </c>
      <c r="G291" s="16" t="n">
        <v>1525.371</v>
      </c>
      <c r="H291" s="17" t="n">
        <f aca="false">F291-G291</f>
        <v>0</v>
      </c>
      <c r="I291" s="18" t="n">
        <f aca="false">IF(E291="MUS",H291/F291,"")</f>
        <v>0</v>
      </c>
    </row>
    <row r="292" customFormat="false" ht="15" hidden="false" customHeight="false" outlineLevel="0" collapsed="false">
      <c r="A292" s="5" t="s">
        <v>639</v>
      </c>
      <c r="B292" s="5" t="s">
        <v>154</v>
      </c>
      <c r="C292" s="5" t="s">
        <v>190</v>
      </c>
      <c r="D292" s="5" t="s">
        <v>640</v>
      </c>
      <c r="E292" s="5" t="s">
        <v>160</v>
      </c>
      <c r="F292" s="16" t="n">
        <v>187.972</v>
      </c>
      <c r="G292" s="16" t="n">
        <v>187.972</v>
      </c>
      <c r="H292" s="17" t="n">
        <f aca="false">F292-G292</f>
        <v>0</v>
      </c>
      <c r="I292" s="18" t="n">
        <f aca="false">IF(E292="MUS",H292/F292,"")</f>
        <v>0</v>
      </c>
    </row>
    <row r="293" customFormat="false" ht="15" hidden="false" customHeight="false" outlineLevel="0" collapsed="false">
      <c r="A293" s="5" t="s">
        <v>641</v>
      </c>
      <c r="B293" s="5" t="s">
        <v>154</v>
      </c>
      <c r="C293" s="5" t="s">
        <v>155</v>
      </c>
      <c r="D293" s="5" t="s">
        <v>642</v>
      </c>
      <c r="E293" s="5" t="s">
        <v>160</v>
      </c>
      <c r="F293" s="16" t="n">
        <v>7312.542</v>
      </c>
      <c r="G293" s="16" t="n">
        <v>7312.542</v>
      </c>
      <c r="H293" s="17" t="n">
        <f aca="false">F293-G293</f>
        <v>0</v>
      </c>
      <c r="I293" s="18" t="n">
        <f aca="false">IF(E293="MUS",H293/F293,"")</f>
        <v>0</v>
      </c>
    </row>
    <row r="294" customFormat="false" ht="15" hidden="false" customHeight="false" outlineLevel="0" collapsed="false">
      <c r="A294" s="5" t="s">
        <v>643</v>
      </c>
      <c r="B294" s="5" t="s">
        <v>154</v>
      </c>
      <c r="C294" s="5" t="s">
        <v>166</v>
      </c>
      <c r="D294" s="5" t="s">
        <v>303</v>
      </c>
      <c r="E294" s="5" t="s">
        <v>160</v>
      </c>
      <c r="F294" s="16" t="n">
        <v>3670.254</v>
      </c>
      <c r="G294" s="16" t="n">
        <v>3670.254</v>
      </c>
      <c r="H294" s="17" t="n">
        <f aca="false">F294-G294</f>
        <v>0</v>
      </c>
      <c r="I294" s="18" t="n">
        <f aca="false">IF(E294="MUS",H294/F294,"")</f>
        <v>0</v>
      </c>
    </row>
    <row r="295" customFormat="false" ht="15" hidden="false" customHeight="false" outlineLevel="0" collapsed="false">
      <c r="A295" s="5" t="s">
        <v>644</v>
      </c>
      <c r="B295" s="5" t="s">
        <v>211</v>
      </c>
      <c r="C295" s="5" t="s">
        <v>212</v>
      </c>
      <c r="D295" s="5" t="s">
        <v>213</v>
      </c>
      <c r="E295" s="5" t="s">
        <v>160</v>
      </c>
      <c r="F295" s="16" t="n">
        <v>141.136</v>
      </c>
      <c r="G295" s="16" t="n">
        <v>141.136</v>
      </c>
      <c r="H295" s="17" t="n">
        <f aca="false">F295-G295</f>
        <v>0</v>
      </c>
      <c r="I295" s="18" t="n">
        <f aca="false">IF(E295="MUS",H295/F295,"")</f>
        <v>0</v>
      </c>
    </row>
    <row r="296" customFormat="false" ht="15" hidden="false" customHeight="false" outlineLevel="0" collapsed="false">
      <c r="A296" s="5" t="s">
        <v>645</v>
      </c>
      <c r="B296" s="5" t="s">
        <v>154</v>
      </c>
      <c r="C296" s="5" t="s">
        <v>226</v>
      </c>
      <c r="D296" s="5" t="s">
        <v>646</v>
      </c>
      <c r="E296" s="5" t="s">
        <v>160</v>
      </c>
      <c r="F296" s="16" t="n">
        <v>14499.747</v>
      </c>
      <c r="G296" s="16" t="n">
        <v>14499.747</v>
      </c>
      <c r="H296" s="17" t="n">
        <f aca="false">F296-G296</f>
        <v>0</v>
      </c>
      <c r="I296" s="18" t="n">
        <f aca="false">IF(E296="MUS",H296/F296,"")</f>
        <v>0</v>
      </c>
    </row>
    <row r="297" customFormat="false" ht="15" hidden="false" customHeight="false" outlineLevel="0" collapsed="false">
      <c r="A297" s="5" t="s">
        <v>647</v>
      </c>
      <c r="B297" s="5" t="s">
        <v>154</v>
      </c>
      <c r="C297" s="5" t="s">
        <v>171</v>
      </c>
      <c r="D297" s="5" t="s">
        <v>648</v>
      </c>
      <c r="E297" s="5" t="s">
        <v>160</v>
      </c>
      <c r="F297" s="16" t="n">
        <v>8319.987</v>
      </c>
      <c r="G297" s="16" t="n">
        <v>8319.987</v>
      </c>
      <c r="H297" s="17" t="n">
        <f aca="false">F297-G297</f>
        <v>0</v>
      </c>
      <c r="I297" s="18" t="n">
        <f aca="false">IF(E297="MUS",H297/F297,"")</f>
        <v>0</v>
      </c>
    </row>
    <row r="298" customFormat="false" ht="15" hidden="false" customHeight="false" outlineLevel="0" collapsed="false">
      <c r="A298" s="5" t="s">
        <v>649</v>
      </c>
      <c r="B298" s="5" t="s">
        <v>154</v>
      </c>
      <c r="C298" s="5" t="s">
        <v>650</v>
      </c>
      <c r="D298" s="5" t="s">
        <v>651</v>
      </c>
      <c r="E298" s="5" t="s">
        <v>160</v>
      </c>
      <c r="F298" s="16" t="n">
        <v>51.727</v>
      </c>
      <c r="G298" s="16" t="n">
        <v>51.727</v>
      </c>
      <c r="H298" s="17" t="n">
        <f aca="false">F298-G298</f>
        <v>0</v>
      </c>
      <c r="I298" s="18" t="n">
        <f aca="false">IF(E298="MUS",H298/F298,"")</f>
        <v>0</v>
      </c>
    </row>
    <row r="299" customFormat="false" ht="15" hidden="false" customHeight="false" outlineLevel="0" collapsed="false">
      <c r="A299" s="5" t="s">
        <v>652</v>
      </c>
      <c r="B299" s="5" t="s">
        <v>154</v>
      </c>
      <c r="C299" s="5" t="s">
        <v>174</v>
      </c>
      <c r="D299" s="5" t="s">
        <v>640</v>
      </c>
      <c r="E299" s="5" t="s">
        <v>160</v>
      </c>
      <c r="F299" s="16" t="n">
        <v>162.537</v>
      </c>
      <c r="G299" s="16" t="n">
        <v>162.537</v>
      </c>
      <c r="H299" s="17" t="n">
        <f aca="false">F299-G299</f>
        <v>0</v>
      </c>
      <c r="I299" s="18" t="n">
        <f aca="false">IF(E299="MUS",H299/F299,"")</f>
        <v>0</v>
      </c>
    </row>
    <row r="300" customFormat="false" ht="15" hidden="false" customHeight="false" outlineLevel="0" collapsed="false">
      <c r="A300" s="5" t="s">
        <v>653</v>
      </c>
      <c r="B300" s="5" t="s">
        <v>154</v>
      </c>
      <c r="C300" s="5" t="s">
        <v>226</v>
      </c>
      <c r="D300" s="5" t="s">
        <v>654</v>
      </c>
      <c r="E300" s="5" t="s">
        <v>160</v>
      </c>
      <c r="F300" s="16" t="n">
        <v>51645.521</v>
      </c>
      <c r="G300" s="16" t="n">
        <v>51645.521</v>
      </c>
      <c r="H300" s="17" t="n">
        <f aca="false">F300-G300</f>
        <v>0</v>
      </c>
      <c r="I300" s="18" t="n">
        <f aca="false">IF(E300="MUS",H300/F300,"")</f>
        <v>0</v>
      </c>
    </row>
    <row r="301" customFormat="false" ht="15" hidden="false" customHeight="false" outlineLevel="0" collapsed="false">
      <c r="A301" s="5" t="s">
        <v>655</v>
      </c>
      <c r="B301" s="5" t="s">
        <v>154</v>
      </c>
      <c r="C301" s="5" t="s">
        <v>171</v>
      </c>
      <c r="D301" s="5" t="s">
        <v>656</v>
      </c>
      <c r="E301" s="5" t="s">
        <v>160</v>
      </c>
      <c r="F301" s="16" t="n">
        <v>1127.448</v>
      </c>
      <c r="G301" s="16" t="n">
        <v>1127.448</v>
      </c>
      <c r="H301" s="17" t="n">
        <f aca="false">F301-G301</f>
        <v>0</v>
      </c>
      <c r="I301" s="18" t="n">
        <f aca="false">IF(E301="MUS",H301/F301,"")</f>
        <v>0</v>
      </c>
    </row>
    <row r="302" customFormat="false" ht="15" hidden="false" customHeight="false" outlineLevel="0" collapsed="false">
      <c r="A302" s="5" t="s">
        <v>657</v>
      </c>
      <c r="B302" s="5" t="s">
        <v>154</v>
      </c>
      <c r="C302" s="5" t="s">
        <v>171</v>
      </c>
      <c r="D302" s="5" t="s">
        <v>658</v>
      </c>
      <c r="E302" s="5" t="s">
        <v>160</v>
      </c>
      <c r="F302" s="16" t="n">
        <v>4076.844</v>
      </c>
      <c r="G302" s="16" t="n">
        <v>4076.844</v>
      </c>
      <c r="H302" s="17" t="n">
        <f aca="false">F302-G302</f>
        <v>0</v>
      </c>
      <c r="I302" s="18" t="n">
        <f aca="false">IF(E302="MUS",H302/F302,"")</f>
        <v>0</v>
      </c>
    </row>
    <row r="303" customFormat="false" ht="15" hidden="false" customHeight="false" outlineLevel="0" collapsed="false">
      <c r="A303" s="5" t="s">
        <v>659</v>
      </c>
      <c r="B303" s="5" t="s">
        <v>154</v>
      </c>
      <c r="C303" s="5" t="s">
        <v>166</v>
      </c>
      <c r="D303" s="5" t="s">
        <v>462</v>
      </c>
      <c r="E303" s="5" t="s">
        <v>160</v>
      </c>
      <c r="F303" s="16" t="n">
        <v>1751.464</v>
      </c>
      <c r="G303" s="16" t="n">
        <v>1751.464</v>
      </c>
      <c r="H303" s="17" t="n">
        <f aca="false">F303-G303</f>
        <v>0</v>
      </c>
      <c r="I303" s="18" t="n">
        <f aca="false">IF(E303="MUS",H303/F303,"")</f>
        <v>0</v>
      </c>
    </row>
    <row r="304" customFormat="false" ht="15" hidden="false" customHeight="false" outlineLevel="0" collapsed="false">
      <c r="A304" s="5" t="s">
        <v>660</v>
      </c>
      <c r="B304" s="5" t="s">
        <v>211</v>
      </c>
      <c r="C304" s="5" t="s">
        <v>212</v>
      </c>
      <c r="D304" s="5" t="s">
        <v>213</v>
      </c>
      <c r="E304" s="5" t="s">
        <v>160</v>
      </c>
      <c r="F304" s="16" t="n">
        <v>716.466</v>
      </c>
      <c r="G304" s="16" t="n">
        <v>716.466</v>
      </c>
      <c r="H304" s="17" t="n">
        <f aca="false">F304-G304</f>
        <v>0</v>
      </c>
      <c r="I304" s="18" t="n">
        <f aca="false">IF(E304="MUS",H304/F304,"")</f>
        <v>0</v>
      </c>
    </row>
    <row r="305" customFormat="false" ht="15" hidden="false" customHeight="false" outlineLevel="0" collapsed="false">
      <c r="A305" s="5" t="s">
        <v>661</v>
      </c>
      <c r="B305" s="5" t="s">
        <v>154</v>
      </c>
      <c r="C305" s="5" t="s">
        <v>171</v>
      </c>
      <c r="D305" s="5" t="s">
        <v>662</v>
      </c>
      <c r="E305" s="5" t="s">
        <v>160</v>
      </c>
      <c r="F305" s="16" t="n">
        <v>3697.116</v>
      </c>
      <c r="G305" s="16" t="n">
        <v>3697.116</v>
      </c>
      <c r="H305" s="17" t="n">
        <f aca="false">F305-G305</f>
        <v>0</v>
      </c>
      <c r="I305" s="18" t="n">
        <f aca="false">IF(E305="MUS",H305/F305,"")</f>
        <v>0</v>
      </c>
    </row>
    <row r="306" customFormat="false" ht="15" hidden="false" customHeight="false" outlineLevel="0" collapsed="false">
      <c r="A306" s="5" t="s">
        <v>663</v>
      </c>
      <c r="B306" s="5" t="s">
        <v>154</v>
      </c>
      <c r="C306" s="5" t="s">
        <v>171</v>
      </c>
      <c r="D306" s="5" t="s">
        <v>664</v>
      </c>
      <c r="E306" s="5" t="s">
        <v>160</v>
      </c>
      <c r="F306" s="16" t="n">
        <v>1647.36</v>
      </c>
      <c r="G306" s="16" t="n">
        <v>1647.36</v>
      </c>
      <c r="H306" s="17" t="n">
        <f aca="false">F306-G306</f>
        <v>0</v>
      </c>
      <c r="I306" s="18" t="n">
        <f aca="false">IF(E306="MUS",H306/F306,"")</f>
        <v>0</v>
      </c>
    </row>
    <row r="307" customFormat="false" ht="15" hidden="false" customHeight="false" outlineLevel="0" collapsed="false">
      <c r="A307" s="5" t="s">
        <v>665</v>
      </c>
      <c r="B307" s="5" t="s">
        <v>154</v>
      </c>
      <c r="C307" s="5" t="s">
        <v>155</v>
      </c>
      <c r="D307" s="5" t="s">
        <v>666</v>
      </c>
      <c r="E307" s="5" t="s">
        <v>160</v>
      </c>
      <c r="F307" s="16" t="n">
        <v>2095.307</v>
      </c>
      <c r="G307" s="16" t="n">
        <v>2095.307</v>
      </c>
      <c r="H307" s="17" t="n">
        <f aca="false">F307-G307</f>
        <v>0</v>
      </c>
      <c r="I307" s="18" t="n">
        <f aca="false">IF(E307="MUS",H307/F307,"")</f>
        <v>0</v>
      </c>
    </row>
    <row r="308" customFormat="false" ht="15" hidden="false" customHeight="false" outlineLevel="0" collapsed="false">
      <c r="A308" s="5" t="s">
        <v>667</v>
      </c>
      <c r="B308" s="5" t="s">
        <v>154</v>
      </c>
      <c r="C308" s="5" t="s">
        <v>171</v>
      </c>
      <c r="D308" s="5" t="s">
        <v>651</v>
      </c>
      <c r="E308" s="5" t="s">
        <v>160</v>
      </c>
      <c r="F308" s="16" t="n">
        <v>706.083</v>
      </c>
      <c r="G308" s="16" t="n">
        <v>706.083</v>
      </c>
      <c r="H308" s="17" t="n">
        <f aca="false">F308-G308</f>
        <v>0</v>
      </c>
      <c r="I308" s="18" t="n">
        <f aca="false">IF(E308="MUS",H308/F308,"")</f>
        <v>0</v>
      </c>
    </row>
    <row r="309" customFormat="false" ht="15" hidden="false" customHeight="false" outlineLevel="0" collapsed="false">
      <c r="A309" s="5" t="s">
        <v>668</v>
      </c>
      <c r="B309" s="5" t="s">
        <v>154</v>
      </c>
      <c r="C309" s="5" t="s">
        <v>174</v>
      </c>
      <c r="D309" s="5" t="s">
        <v>642</v>
      </c>
      <c r="E309" s="5" t="s">
        <v>160</v>
      </c>
      <c r="F309" s="16" t="n">
        <v>22.652</v>
      </c>
      <c r="G309" s="16" t="n">
        <v>22.652</v>
      </c>
      <c r="H309" s="17" t="n">
        <f aca="false">F309-G309</f>
        <v>0</v>
      </c>
      <c r="I309" s="18" t="n">
        <f aca="false">IF(E309="MUS",H309/F309,"")</f>
        <v>0</v>
      </c>
    </row>
    <row r="310" customFormat="false" ht="15" hidden="false" customHeight="false" outlineLevel="0" collapsed="false">
      <c r="A310" s="5" t="s">
        <v>669</v>
      </c>
      <c r="B310" s="5" t="s">
        <v>154</v>
      </c>
      <c r="C310" s="5" t="s">
        <v>155</v>
      </c>
      <c r="D310" s="5" t="s">
        <v>429</v>
      </c>
      <c r="E310" s="5" t="s">
        <v>160</v>
      </c>
      <c r="F310" s="16" t="n">
        <v>4436.808</v>
      </c>
      <c r="G310" s="16" t="n">
        <v>4436.808</v>
      </c>
      <c r="H310" s="17" t="n">
        <f aca="false">F310-G310</f>
        <v>0</v>
      </c>
      <c r="I310" s="18" t="n">
        <f aca="false">IF(E310="MUS",H310/F310,"")</f>
        <v>0</v>
      </c>
    </row>
    <row r="311" customFormat="false" ht="15" hidden="false" customHeight="false" outlineLevel="0" collapsed="false">
      <c r="A311" s="5" t="s">
        <v>670</v>
      </c>
      <c r="B311" s="5" t="s">
        <v>154</v>
      </c>
      <c r="C311" s="5" t="s">
        <v>174</v>
      </c>
      <c r="D311" s="5" t="s">
        <v>224</v>
      </c>
      <c r="E311" s="5" t="s">
        <v>160</v>
      </c>
      <c r="F311" s="16" t="n">
        <v>2095.797</v>
      </c>
      <c r="G311" s="16" t="n">
        <v>2095.797</v>
      </c>
      <c r="H311" s="17" t="n">
        <f aca="false">F311-G311</f>
        <v>0</v>
      </c>
      <c r="I311" s="18" t="n">
        <f aca="false">IF(E311="MUS",H311/F311,"")</f>
        <v>0</v>
      </c>
    </row>
    <row r="312" customFormat="false" ht="15" hidden="false" customHeight="false" outlineLevel="0" collapsed="false">
      <c r="A312" s="5" t="s">
        <v>671</v>
      </c>
      <c r="B312" s="5" t="s">
        <v>154</v>
      </c>
      <c r="C312" s="5" t="s">
        <v>155</v>
      </c>
      <c r="D312" s="5" t="s">
        <v>658</v>
      </c>
      <c r="E312" s="5" t="s">
        <v>160</v>
      </c>
      <c r="F312" s="16" t="n">
        <v>15394.961</v>
      </c>
      <c r="G312" s="16" t="n">
        <v>15394.961</v>
      </c>
      <c r="H312" s="17" t="n">
        <f aca="false">F312-G312</f>
        <v>0</v>
      </c>
      <c r="I312" s="18" t="n">
        <f aca="false">IF(E312="MUS",H312/F312,"")</f>
        <v>0</v>
      </c>
    </row>
    <row r="313" customFormat="false" ht="15" hidden="false" customHeight="false" outlineLevel="0" collapsed="false">
      <c r="A313" s="5" t="s">
        <v>672</v>
      </c>
      <c r="B313" s="5" t="s">
        <v>211</v>
      </c>
      <c r="C313" s="5" t="s">
        <v>212</v>
      </c>
      <c r="D313" s="5" t="s">
        <v>213</v>
      </c>
      <c r="E313" s="5" t="s">
        <v>160</v>
      </c>
      <c r="F313" s="16" t="n">
        <v>231.958</v>
      </c>
      <c r="G313" s="16" t="n">
        <v>231.958</v>
      </c>
      <c r="H313" s="17" t="n">
        <f aca="false">F313-G313</f>
        <v>0</v>
      </c>
      <c r="I313" s="18" t="n">
        <f aca="false">IF(E313="MUS",H313/F313,"")</f>
        <v>0</v>
      </c>
    </row>
    <row r="314" customFormat="false" ht="15" hidden="false" customHeight="false" outlineLevel="0" collapsed="false">
      <c r="A314" s="5" t="s">
        <v>673</v>
      </c>
      <c r="B314" s="5" t="s">
        <v>154</v>
      </c>
      <c r="C314" s="5" t="s">
        <v>226</v>
      </c>
      <c r="D314" s="5" t="s">
        <v>330</v>
      </c>
      <c r="E314" s="5" t="s">
        <v>160</v>
      </c>
      <c r="F314" s="16" t="n">
        <v>14538.705</v>
      </c>
      <c r="G314" s="16" t="n">
        <v>14538.705</v>
      </c>
      <c r="H314" s="17" t="n">
        <f aca="false">F314-G314</f>
        <v>0</v>
      </c>
      <c r="I314" s="18" t="n">
        <f aca="false">IF(E314="MUS",H314/F314,"")</f>
        <v>0</v>
      </c>
    </row>
    <row r="315" customFormat="false" ht="15" hidden="false" customHeight="false" outlineLevel="0" collapsed="false">
      <c r="A315" s="5" t="s">
        <v>674</v>
      </c>
      <c r="B315" s="5" t="s">
        <v>154</v>
      </c>
      <c r="C315" s="5" t="s">
        <v>155</v>
      </c>
      <c r="D315" s="5" t="s">
        <v>520</v>
      </c>
      <c r="E315" s="5" t="s">
        <v>160</v>
      </c>
      <c r="F315" s="16" t="n">
        <v>112673.632</v>
      </c>
      <c r="G315" s="16" t="n">
        <v>112673.632</v>
      </c>
      <c r="H315" s="17" t="n">
        <f aca="false">F315-G315</f>
        <v>0</v>
      </c>
      <c r="I315" s="18" t="n">
        <f aca="false">IF(E315="MUS",H315/F315,"")</f>
        <v>0</v>
      </c>
    </row>
    <row r="316" customFormat="false" ht="15" hidden="false" customHeight="false" outlineLevel="0" collapsed="false">
      <c r="A316" s="5" t="s">
        <v>675</v>
      </c>
      <c r="B316" s="5" t="s">
        <v>154</v>
      </c>
      <c r="C316" s="5" t="s">
        <v>166</v>
      </c>
      <c r="D316" s="5" t="s">
        <v>392</v>
      </c>
      <c r="E316" s="5" t="s">
        <v>160</v>
      </c>
      <c r="F316" s="16" t="n">
        <v>274.083</v>
      </c>
      <c r="G316" s="16" t="n">
        <v>274.083</v>
      </c>
      <c r="H316" s="17" t="n">
        <f aca="false">F316-G316</f>
        <v>0</v>
      </c>
      <c r="I316" s="18" t="n">
        <f aca="false">IF(E316="MUS",H316/F316,"")</f>
        <v>0</v>
      </c>
    </row>
    <row r="317" customFormat="false" ht="15" hidden="false" customHeight="false" outlineLevel="0" collapsed="false">
      <c r="A317" s="5" t="s">
        <v>676</v>
      </c>
      <c r="B317" s="5" t="s">
        <v>211</v>
      </c>
      <c r="C317" s="5" t="s">
        <v>212</v>
      </c>
      <c r="D317" s="5" t="s">
        <v>213</v>
      </c>
      <c r="E317" s="5" t="s">
        <v>160</v>
      </c>
      <c r="F317" s="16" t="n">
        <v>118.185</v>
      </c>
      <c r="G317" s="16" t="n">
        <v>118.185</v>
      </c>
      <c r="H317" s="17" t="n">
        <f aca="false">F317-G317</f>
        <v>0</v>
      </c>
      <c r="I317" s="18" t="n">
        <f aca="false">IF(E317="MUS",H317/F317,"")</f>
        <v>0</v>
      </c>
    </row>
    <row r="318" customFormat="false" ht="15" hidden="false" customHeight="false" outlineLevel="0" collapsed="false">
      <c r="A318" s="5" t="s">
        <v>677</v>
      </c>
      <c r="B318" s="5" t="s">
        <v>154</v>
      </c>
      <c r="C318" s="5" t="s">
        <v>174</v>
      </c>
      <c r="D318" s="5" t="s">
        <v>678</v>
      </c>
      <c r="E318" s="5" t="s">
        <v>160</v>
      </c>
      <c r="F318" s="16" t="n">
        <v>337.053</v>
      </c>
      <c r="G318" s="16" t="n">
        <v>337.053</v>
      </c>
      <c r="H318" s="17" t="n">
        <f aca="false">F318-G318</f>
        <v>0</v>
      </c>
      <c r="I318" s="18" t="n">
        <f aca="false">IF(E318="MUS",H318/F318,"")</f>
        <v>0</v>
      </c>
    </row>
    <row r="319" customFormat="false" ht="15" hidden="false" customHeight="false" outlineLevel="0" collapsed="false">
      <c r="A319" s="5" t="s">
        <v>679</v>
      </c>
      <c r="B319" s="5" t="s">
        <v>154</v>
      </c>
      <c r="C319" s="5" t="s">
        <v>171</v>
      </c>
      <c r="D319" s="5" t="s">
        <v>680</v>
      </c>
      <c r="E319" s="5" t="s">
        <v>160</v>
      </c>
      <c r="F319" s="16" t="n">
        <v>1758.07</v>
      </c>
      <c r="G319" s="16" t="n">
        <v>1758.07</v>
      </c>
      <c r="H319" s="17" t="n">
        <f aca="false">F319-G319</f>
        <v>0</v>
      </c>
      <c r="I319" s="18" t="n">
        <f aca="false">IF(E319="MUS",H319/F319,"")</f>
        <v>0</v>
      </c>
    </row>
    <row r="320" customFormat="false" ht="15" hidden="false" customHeight="false" outlineLevel="0" collapsed="false">
      <c r="A320" s="5" t="s">
        <v>681</v>
      </c>
      <c r="B320" s="5" t="s">
        <v>154</v>
      </c>
      <c r="C320" s="5" t="s">
        <v>171</v>
      </c>
      <c r="D320" s="5" t="s">
        <v>544</v>
      </c>
      <c r="E320" s="5" t="s">
        <v>160</v>
      </c>
      <c r="F320" s="16" t="n">
        <v>6948.107</v>
      </c>
      <c r="G320" s="16" t="n">
        <v>6948.107</v>
      </c>
      <c r="H320" s="17" t="n">
        <f aca="false">F320-G320</f>
        <v>0</v>
      </c>
      <c r="I320" s="18" t="n">
        <f aca="false">IF(E320="MUS",H320/F320,"")</f>
        <v>0</v>
      </c>
    </row>
    <row r="321" customFormat="false" ht="15" hidden="false" customHeight="false" outlineLevel="0" collapsed="false">
      <c r="A321" s="5" t="s">
        <v>682</v>
      </c>
      <c r="B321" s="5" t="s">
        <v>154</v>
      </c>
      <c r="C321" s="5" t="s">
        <v>190</v>
      </c>
      <c r="D321" s="5" t="s">
        <v>683</v>
      </c>
      <c r="E321" s="5" t="s">
        <v>160</v>
      </c>
      <c r="F321" s="16" t="n">
        <v>3857.116</v>
      </c>
      <c r="G321" s="16" t="n">
        <v>3857.116</v>
      </c>
      <c r="H321" s="17" t="n">
        <f aca="false">F321-G321</f>
        <v>0</v>
      </c>
      <c r="I321" s="18" t="n">
        <f aca="false">IF(E321="MUS",H321/F321,"")</f>
        <v>0</v>
      </c>
    </row>
    <row r="322" customFormat="false" ht="15" hidden="false" customHeight="false" outlineLevel="0" collapsed="false">
      <c r="A322" s="5" t="s">
        <v>684</v>
      </c>
      <c r="B322" s="5" t="s">
        <v>154</v>
      </c>
      <c r="C322" s="5" t="s">
        <v>174</v>
      </c>
      <c r="D322" s="5" t="s">
        <v>685</v>
      </c>
      <c r="E322" s="5" t="s">
        <v>160</v>
      </c>
      <c r="F322" s="16" t="n">
        <v>94.469</v>
      </c>
      <c r="G322" s="16" t="n">
        <v>94.469</v>
      </c>
      <c r="H322" s="17" t="n">
        <f aca="false">F322-G322</f>
        <v>0</v>
      </c>
      <c r="I322" s="18" t="n">
        <f aca="false">IF(E322="MUS",H322/F322,"")</f>
        <v>0</v>
      </c>
    </row>
    <row r="323" customFormat="false" ht="15" hidden="false" customHeight="false" outlineLevel="0" collapsed="false">
      <c r="A323" s="5" t="s">
        <v>686</v>
      </c>
      <c r="B323" s="5" t="s">
        <v>154</v>
      </c>
      <c r="C323" s="5" t="s">
        <v>155</v>
      </c>
      <c r="D323" s="5" t="s">
        <v>252</v>
      </c>
      <c r="E323" s="5" t="s">
        <v>160</v>
      </c>
      <c r="F323" s="16" t="n">
        <v>9424.605</v>
      </c>
      <c r="G323" s="16" t="n">
        <v>9424.605</v>
      </c>
      <c r="H323" s="17" t="n">
        <f aca="false">F323-G323</f>
        <v>0</v>
      </c>
      <c r="I323" s="18" t="n">
        <f aca="false">IF(E323="MUS",H323/F323,"")</f>
        <v>0</v>
      </c>
    </row>
    <row r="324" customFormat="false" ht="15" hidden="false" customHeight="false" outlineLevel="0" collapsed="false">
      <c r="A324" s="5" t="s">
        <v>687</v>
      </c>
      <c r="B324" s="5" t="s">
        <v>154</v>
      </c>
      <c r="C324" s="5" t="s">
        <v>190</v>
      </c>
      <c r="D324" s="5" t="s">
        <v>589</v>
      </c>
      <c r="E324" s="5" t="s">
        <v>160</v>
      </c>
      <c r="F324" s="16" t="n">
        <v>109.277</v>
      </c>
      <c r="G324" s="16" t="n">
        <v>109.277</v>
      </c>
      <c r="H324" s="17" t="n">
        <f aca="false">F324-G324</f>
        <v>0</v>
      </c>
      <c r="I324" s="18" t="n">
        <f aca="false">IF(E324="MUS",H324/F324,"")</f>
        <v>0</v>
      </c>
    </row>
    <row r="325" customFormat="false" ht="15" hidden="false" customHeight="false" outlineLevel="0" collapsed="false">
      <c r="A325" s="5" t="s">
        <v>688</v>
      </c>
      <c r="B325" s="5" t="s">
        <v>154</v>
      </c>
      <c r="C325" s="5" t="s">
        <v>226</v>
      </c>
      <c r="D325" s="5" t="s">
        <v>271</v>
      </c>
      <c r="E325" s="5" t="s">
        <v>160</v>
      </c>
      <c r="F325" s="16" t="n">
        <v>1500.382</v>
      </c>
      <c r="G325" s="16" t="n">
        <v>1500.382</v>
      </c>
      <c r="H325" s="17" t="n">
        <f aca="false">F325-G325</f>
        <v>0</v>
      </c>
      <c r="I325" s="18" t="n">
        <f aca="false">IF(E325="MUS",H325/F325,"")</f>
        <v>0</v>
      </c>
    </row>
    <row r="326" customFormat="false" ht="15" hidden="false" customHeight="false" outlineLevel="0" collapsed="false">
      <c r="A326" s="5" t="s">
        <v>689</v>
      </c>
      <c r="B326" s="5" t="s">
        <v>154</v>
      </c>
      <c r="C326" s="5" t="s">
        <v>171</v>
      </c>
      <c r="D326" s="5" t="s">
        <v>690</v>
      </c>
      <c r="E326" s="5" t="s">
        <v>160</v>
      </c>
      <c r="F326" s="16" t="n">
        <v>5656.627</v>
      </c>
      <c r="G326" s="16" t="n">
        <v>5656.627</v>
      </c>
      <c r="H326" s="17" t="n">
        <f aca="false">F326-G326</f>
        <v>0</v>
      </c>
      <c r="I326" s="18" t="n">
        <f aca="false">IF(E326="MUS",H326/F326,"")</f>
        <v>0</v>
      </c>
    </row>
    <row r="327" customFormat="false" ht="15" hidden="false" customHeight="false" outlineLevel="0" collapsed="false">
      <c r="A327" s="5" t="s">
        <v>691</v>
      </c>
      <c r="B327" s="5" t="s">
        <v>154</v>
      </c>
      <c r="C327" s="5" t="s">
        <v>155</v>
      </c>
      <c r="D327" s="5" t="s">
        <v>692</v>
      </c>
      <c r="E327" s="5" t="s">
        <v>160</v>
      </c>
      <c r="F327" s="16" t="n">
        <v>63138.264</v>
      </c>
      <c r="G327" s="16" t="n">
        <v>63138.264</v>
      </c>
      <c r="H327" s="17" t="n">
        <f aca="false">F327-G327</f>
        <v>0</v>
      </c>
      <c r="I327" s="18" t="n">
        <f aca="false">IF(E327="MUS",H327/F327,"")</f>
        <v>0</v>
      </c>
    </row>
    <row r="328" customFormat="false" ht="15" hidden="false" customHeight="false" outlineLevel="0" collapsed="false">
      <c r="A328" s="5" t="s">
        <v>693</v>
      </c>
      <c r="B328" s="5" t="s">
        <v>154</v>
      </c>
      <c r="C328" s="5" t="s">
        <v>171</v>
      </c>
      <c r="D328" s="5" t="s">
        <v>553</v>
      </c>
      <c r="E328" s="5" t="s">
        <v>160</v>
      </c>
      <c r="F328" s="16" t="n">
        <v>1868.43</v>
      </c>
      <c r="G328" s="16" t="n">
        <v>1868.43</v>
      </c>
      <c r="H328" s="17" t="n">
        <f aca="false">F328-G328</f>
        <v>0</v>
      </c>
      <c r="I328" s="18" t="n">
        <f aca="false">IF(E328="MUS",H328/F328,"")</f>
        <v>0</v>
      </c>
    </row>
    <row r="329" customFormat="false" ht="15" hidden="false" customHeight="false" outlineLevel="0" collapsed="false">
      <c r="A329" s="5" t="s">
        <v>694</v>
      </c>
      <c r="B329" s="5" t="s">
        <v>154</v>
      </c>
      <c r="C329" s="5" t="s">
        <v>155</v>
      </c>
      <c r="D329" s="5" t="s">
        <v>695</v>
      </c>
      <c r="E329" s="5" t="s">
        <v>160</v>
      </c>
      <c r="F329" s="16" t="n">
        <v>3560.836</v>
      </c>
      <c r="G329" s="16" t="n">
        <v>3560.836</v>
      </c>
      <c r="H329" s="17" t="n">
        <f aca="false">F329-G329</f>
        <v>0</v>
      </c>
      <c r="I329" s="18" t="n">
        <f aca="false">IF(E329="MUS",H329/F329,"")</f>
        <v>0</v>
      </c>
    </row>
    <row r="330" customFormat="false" ht="15" hidden="false" customHeight="false" outlineLevel="0" collapsed="false">
      <c r="A330" s="5" t="s">
        <v>696</v>
      </c>
      <c r="B330" s="5" t="s">
        <v>154</v>
      </c>
      <c r="C330" s="5" t="s">
        <v>171</v>
      </c>
      <c r="D330" s="5" t="s">
        <v>184</v>
      </c>
      <c r="E330" s="5" t="s">
        <v>160</v>
      </c>
      <c r="F330" s="16" t="n">
        <v>604.758</v>
      </c>
      <c r="G330" s="16" t="n">
        <v>604.758</v>
      </c>
      <c r="H330" s="17" t="n">
        <f aca="false">F330-G330</f>
        <v>0</v>
      </c>
      <c r="I330" s="18" t="n">
        <f aca="false">IF(E330="MUS",H330/F330,"")</f>
        <v>0</v>
      </c>
    </row>
    <row r="331" customFormat="false" ht="15" hidden="false" customHeight="false" outlineLevel="0" collapsed="false">
      <c r="A331" s="5" t="s">
        <v>697</v>
      </c>
      <c r="B331" s="5" t="s">
        <v>211</v>
      </c>
      <c r="C331" s="5" t="s">
        <v>212</v>
      </c>
      <c r="D331" s="5" t="s">
        <v>213</v>
      </c>
      <c r="E331" s="5" t="s">
        <v>160</v>
      </c>
      <c r="F331" s="16" t="n">
        <v>1076.002</v>
      </c>
      <c r="G331" s="16" t="n">
        <v>1076.002</v>
      </c>
      <c r="H331" s="17" t="n">
        <f aca="false">F331-G331</f>
        <v>0</v>
      </c>
      <c r="I331" s="18" t="n">
        <f aca="false">IF(E331="MUS",H331/F331,"")</f>
        <v>0</v>
      </c>
    </row>
    <row r="332" customFormat="false" ht="15" hidden="false" customHeight="false" outlineLevel="0" collapsed="false">
      <c r="A332" s="5" t="s">
        <v>698</v>
      </c>
      <c r="B332" s="5" t="s">
        <v>154</v>
      </c>
      <c r="C332" s="5" t="s">
        <v>190</v>
      </c>
      <c r="D332" s="5" t="s">
        <v>327</v>
      </c>
      <c r="E332" s="5" t="s">
        <v>160</v>
      </c>
      <c r="F332" s="16" t="n">
        <v>63.666</v>
      </c>
      <c r="G332" s="16" t="n">
        <v>63.666</v>
      </c>
      <c r="H332" s="17" t="n">
        <f aca="false">F332-G332</f>
        <v>0</v>
      </c>
      <c r="I332" s="18" t="n">
        <f aca="false">IF(E332="MUS",H332/F332,"")</f>
        <v>0</v>
      </c>
    </row>
    <row r="333" customFormat="false" ht="15" hidden="false" customHeight="false" outlineLevel="0" collapsed="false">
      <c r="A333" s="5" t="s">
        <v>699</v>
      </c>
      <c r="B333" s="5" t="s">
        <v>154</v>
      </c>
      <c r="C333" s="5" t="s">
        <v>226</v>
      </c>
      <c r="D333" s="5" t="s">
        <v>271</v>
      </c>
      <c r="E333" s="5" t="s">
        <v>160</v>
      </c>
      <c r="F333" s="16" t="n">
        <v>3176.322</v>
      </c>
      <c r="G333" s="16" t="n">
        <v>3176.322</v>
      </c>
      <c r="H333" s="17" t="n">
        <f aca="false">F333-G333</f>
        <v>0</v>
      </c>
      <c r="I333" s="18" t="n">
        <f aca="false">IF(E333="MUS",H333/F333,"")</f>
        <v>0</v>
      </c>
    </row>
    <row r="334" customFormat="false" ht="15" hidden="false" customHeight="false" outlineLevel="0" collapsed="false">
      <c r="A334" s="5" t="s">
        <v>700</v>
      </c>
      <c r="B334" s="5" t="s">
        <v>154</v>
      </c>
      <c r="C334" s="5" t="s">
        <v>650</v>
      </c>
      <c r="D334" s="5" t="s">
        <v>701</v>
      </c>
      <c r="E334" s="5" t="s">
        <v>160</v>
      </c>
      <c r="F334" s="16" t="n">
        <v>123.969</v>
      </c>
      <c r="G334" s="16" t="n">
        <v>123.969</v>
      </c>
      <c r="H334" s="17" t="n">
        <f aca="false">F334-G334</f>
        <v>0</v>
      </c>
      <c r="I334" s="18" t="n">
        <f aca="false">IF(E334="MUS",H334/F334,"")</f>
        <v>0</v>
      </c>
    </row>
    <row r="335" customFormat="false" ht="15" hidden="false" customHeight="false" outlineLevel="0" collapsed="false">
      <c r="A335" s="5" t="s">
        <v>702</v>
      </c>
      <c r="B335" s="5" t="s">
        <v>154</v>
      </c>
      <c r="C335" s="5" t="s">
        <v>171</v>
      </c>
      <c r="D335" s="5" t="s">
        <v>259</v>
      </c>
      <c r="E335" s="5" t="s">
        <v>160</v>
      </c>
      <c r="F335" s="16" t="n">
        <v>2761.001</v>
      </c>
      <c r="G335" s="16" t="n">
        <v>2761.001</v>
      </c>
      <c r="H335" s="17" t="n">
        <f aca="false">F335-G335</f>
        <v>0</v>
      </c>
      <c r="I335" s="18" t="n">
        <f aca="false">IF(E335="MUS",H335/F335,"")</f>
        <v>0</v>
      </c>
    </row>
    <row r="336" customFormat="false" ht="15" hidden="false" customHeight="false" outlineLevel="0" collapsed="false">
      <c r="A336" s="5" t="s">
        <v>703</v>
      </c>
      <c r="B336" s="5" t="s">
        <v>154</v>
      </c>
      <c r="C336" s="5" t="s">
        <v>190</v>
      </c>
      <c r="D336" s="5" t="s">
        <v>704</v>
      </c>
      <c r="E336" s="5" t="s">
        <v>160</v>
      </c>
      <c r="F336" s="16" t="n">
        <v>744.594</v>
      </c>
      <c r="G336" s="16" t="n">
        <v>744.594</v>
      </c>
      <c r="H336" s="17" t="n">
        <f aca="false">F336-G336</f>
        <v>0</v>
      </c>
      <c r="I336" s="18" t="n">
        <f aca="false">IF(E336="MUS",H336/F336,"")</f>
        <v>0</v>
      </c>
    </row>
    <row r="337" customFormat="false" ht="15" hidden="false" customHeight="false" outlineLevel="0" collapsed="false">
      <c r="A337" s="5" t="s">
        <v>705</v>
      </c>
      <c r="B337" s="5" t="s">
        <v>154</v>
      </c>
      <c r="C337" s="5" t="s">
        <v>226</v>
      </c>
      <c r="D337" s="5" t="s">
        <v>706</v>
      </c>
      <c r="E337" s="5" t="s">
        <v>160</v>
      </c>
      <c r="F337" s="16" t="n">
        <v>8076.768</v>
      </c>
      <c r="G337" s="16" t="n">
        <v>8076.768</v>
      </c>
      <c r="H337" s="17" t="n">
        <f aca="false">F337-G337</f>
        <v>0</v>
      </c>
      <c r="I337" s="18" t="n">
        <f aca="false">IF(E337="MUS",H337/F337,"")</f>
        <v>0</v>
      </c>
    </row>
    <row r="338" customFormat="false" ht="15" hidden="false" customHeight="false" outlineLevel="0" collapsed="false">
      <c r="A338" s="5" t="s">
        <v>707</v>
      </c>
      <c r="B338" s="5" t="s">
        <v>154</v>
      </c>
      <c r="C338" s="5" t="s">
        <v>419</v>
      </c>
      <c r="D338" s="5" t="s">
        <v>633</v>
      </c>
      <c r="E338" s="5" t="s">
        <v>160</v>
      </c>
      <c r="F338" s="16" t="n">
        <v>3.775</v>
      </c>
      <c r="G338" s="16" t="n">
        <v>3.775</v>
      </c>
      <c r="H338" s="17" t="n">
        <f aca="false">F338-G338</f>
        <v>0</v>
      </c>
      <c r="I338" s="18" t="n">
        <f aca="false">IF(E338="MUS",H338/F338,"")</f>
        <v>0</v>
      </c>
    </row>
    <row r="339" customFormat="false" ht="15" hidden="false" customHeight="false" outlineLevel="0" collapsed="false">
      <c r="A339" s="5" t="s">
        <v>708</v>
      </c>
      <c r="B339" s="5" t="s">
        <v>154</v>
      </c>
      <c r="C339" s="5" t="s">
        <v>155</v>
      </c>
      <c r="D339" s="5" t="s">
        <v>642</v>
      </c>
      <c r="E339" s="5" t="s">
        <v>160</v>
      </c>
      <c r="F339" s="16" t="n">
        <v>6759.067</v>
      </c>
      <c r="G339" s="16" t="n">
        <v>6759.067</v>
      </c>
      <c r="H339" s="17" t="n">
        <f aca="false">F339-G339</f>
        <v>0</v>
      </c>
      <c r="I339" s="18" t="n">
        <f aca="false">IF(E339="MUS",H339/F339,"")</f>
        <v>0</v>
      </c>
    </row>
    <row r="340" customFormat="false" ht="15" hidden="false" customHeight="false" outlineLevel="0" collapsed="false">
      <c r="A340" s="5" t="s">
        <v>709</v>
      </c>
      <c r="B340" s="5" t="s">
        <v>154</v>
      </c>
      <c r="C340" s="5" t="s">
        <v>190</v>
      </c>
      <c r="D340" s="5" t="s">
        <v>405</v>
      </c>
      <c r="E340" s="5" t="s">
        <v>160</v>
      </c>
      <c r="F340" s="16" t="n">
        <v>278.486</v>
      </c>
      <c r="G340" s="16" t="n">
        <v>278.486</v>
      </c>
      <c r="H340" s="17" t="n">
        <f aca="false">F340-G340</f>
        <v>0</v>
      </c>
      <c r="I340" s="18" t="n">
        <f aca="false">IF(E340="MUS",H340/F340,"")</f>
        <v>0</v>
      </c>
    </row>
    <row r="341" customFormat="false" ht="15" hidden="false" customHeight="false" outlineLevel="0" collapsed="false">
      <c r="A341" s="5" t="s">
        <v>710</v>
      </c>
      <c r="B341" s="5" t="s">
        <v>154</v>
      </c>
      <c r="C341" s="5" t="s">
        <v>171</v>
      </c>
      <c r="D341" s="5" t="s">
        <v>550</v>
      </c>
      <c r="E341" s="5" t="s">
        <v>160</v>
      </c>
      <c r="F341" s="16" t="n">
        <v>347.026</v>
      </c>
      <c r="G341" s="16" t="n">
        <v>347.026</v>
      </c>
      <c r="H341" s="17" t="n">
        <f aca="false">F341-G341</f>
        <v>0</v>
      </c>
      <c r="I341" s="18" t="n">
        <f aca="false">IF(E341="MUS",H341/F341,"")</f>
        <v>0</v>
      </c>
    </row>
    <row r="342" customFormat="false" ht="15" hidden="false" customHeight="false" outlineLevel="0" collapsed="false">
      <c r="A342" s="5" t="s">
        <v>711</v>
      </c>
      <c r="B342" s="5" t="s">
        <v>211</v>
      </c>
      <c r="C342" s="5" t="s">
        <v>212</v>
      </c>
      <c r="D342" s="5" t="s">
        <v>213</v>
      </c>
      <c r="E342" s="5" t="s">
        <v>160</v>
      </c>
      <c r="F342" s="16" t="n">
        <v>1072.069</v>
      </c>
      <c r="G342" s="16" t="n">
        <v>1072.069</v>
      </c>
      <c r="H342" s="17" t="n">
        <f aca="false">F342-G342</f>
        <v>0</v>
      </c>
      <c r="I342" s="18" t="n">
        <f aca="false">IF(E342="MUS",H342/F342,"")</f>
        <v>0</v>
      </c>
    </row>
    <row r="343" customFormat="false" ht="15" hidden="false" customHeight="false" outlineLevel="0" collapsed="false">
      <c r="A343" s="5" t="s">
        <v>712</v>
      </c>
      <c r="B343" s="5" t="s">
        <v>154</v>
      </c>
      <c r="C343" s="5" t="s">
        <v>155</v>
      </c>
      <c r="D343" s="5" t="s">
        <v>713</v>
      </c>
      <c r="E343" s="5" t="s">
        <v>160</v>
      </c>
      <c r="F343" s="16" t="n">
        <v>8163.17</v>
      </c>
      <c r="G343" s="16" t="n">
        <v>8163.17</v>
      </c>
      <c r="H343" s="17" t="n">
        <f aca="false">F343-G343</f>
        <v>0</v>
      </c>
      <c r="I343" s="18" t="n">
        <f aca="false">IF(E343="MUS",H343/F343,"")</f>
        <v>0</v>
      </c>
    </row>
    <row r="344" customFormat="false" ht="15" hidden="false" customHeight="false" outlineLevel="0" collapsed="false">
      <c r="A344" s="5" t="s">
        <v>714</v>
      </c>
      <c r="B344" s="5" t="s">
        <v>154</v>
      </c>
      <c r="C344" s="5" t="s">
        <v>166</v>
      </c>
      <c r="D344" s="5" t="s">
        <v>715</v>
      </c>
      <c r="E344" s="5" t="s">
        <v>160</v>
      </c>
      <c r="F344" s="16" t="n">
        <v>1546.043</v>
      </c>
      <c r="G344" s="16" t="n">
        <v>1546.043</v>
      </c>
      <c r="H344" s="17" t="n">
        <f aca="false">F344-G344</f>
        <v>0</v>
      </c>
      <c r="I344" s="18" t="n">
        <f aca="false">IF(E344="MUS",H344/F344,"")</f>
        <v>0</v>
      </c>
    </row>
    <row r="345" customFormat="false" ht="15" hidden="false" customHeight="false" outlineLevel="0" collapsed="false">
      <c r="A345" s="5" t="s">
        <v>716</v>
      </c>
      <c r="B345" s="5" t="s">
        <v>154</v>
      </c>
      <c r="C345" s="5" t="s">
        <v>174</v>
      </c>
      <c r="D345" s="5" t="s">
        <v>717</v>
      </c>
      <c r="E345" s="5" t="s">
        <v>160</v>
      </c>
      <c r="F345" s="16" t="n">
        <v>78.495</v>
      </c>
      <c r="G345" s="16" t="n">
        <v>78.495</v>
      </c>
      <c r="H345" s="17" t="n">
        <f aca="false">F345-G345</f>
        <v>0</v>
      </c>
      <c r="I345" s="18" t="n">
        <f aca="false">IF(E345="MUS",H345/F345,"")</f>
        <v>0</v>
      </c>
    </row>
    <row r="346" customFormat="false" ht="15" hidden="false" customHeight="false" outlineLevel="0" collapsed="false">
      <c r="A346" s="5" t="s">
        <v>718</v>
      </c>
      <c r="B346" s="5" t="s">
        <v>154</v>
      </c>
      <c r="C346" s="5" t="s">
        <v>174</v>
      </c>
      <c r="D346" s="5" t="s">
        <v>269</v>
      </c>
      <c r="E346" s="5" t="s">
        <v>160</v>
      </c>
      <c r="F346" s="16" t="n">
        <v>423.946</v>
      </c>
      <c r="G346" s="16" t="n">
        <v>423.946</v>
      </c>
      <c r="H346" s="17" t="n">
        <f aca="false">F346-G346</f>
        <v>0</v>
      </c>
      <c r="I346" s="18" t="n">
        <f aca="false">IF(E346="MUS",H346/F346,"")</f>
        <v>0</v>
      </c>
    </row>
    <row r="347" customFormat="false" ht="15" hidden="false" customHeight="false" outlineLevel="0" collapsed="false">
      <c r="A347" s="5" t="s">
        <v>719</v>
      </c>
      <c r="B347" s="5" t="s">
        <v>154</v>
      </c>
      <c r="C347" s="5" t="s">
        <v>190</v>
      </c>
      <c r="D347" s="5" t="s">
        <v>325</v>
      </c>
      <c r="E347" s="5" t="s">
        <v>160</v>
      </c>
      <c r="F347" s="16" t="n">
        <v>625.802</v>
      </c>
      <c r="G347" s="16" t="n">
        <v>625.802</v>
      </c>
      <c r="H347" s="17" t="n">
        <f aca="false">F347-G347</f>
        <v>0</v>
      </c>
      <c r="I347" s="18" t="n">
        <f aca="false">IF(E347="MUS",H347/F347,"")</f>
        <v>0</v>
      </c>
    </row>
    <row r="348" customFormat="false" ht="15" hidden="false" customHeight="false" outlineLevel="0" collapsed="false">
      <c r="A348" s="5" t="s">
        <v>720</v>
      </c>
      <c r="B348" s="5" t="s">
        <v>211</v>
      </c>
      <c r="C348" s="5" t="s">
        <v>212</v>
      </c>
      <c r="D348" s="5" t="s">
        <v>213</v>
      </c>
      <c r="E348" s="5" t="s">
        <v>160</v>
      </c>
      <c r="F348" s="16" t="n">
        <v>32.271</v>
      </c>
      <c r="G348" s="16" t="n">
        <v>32.271</v>
      </c>
      <c r="H348" s="17" t="n">
        <f aca="false">F348-G348</f>
        <v>0</v>
      </c>
      <c r="I348" s="18" t="n">
        <f aca="false">IF(E348="MUS",H348/F348,"")</f>
        <v>0</v>
      </c>
    </row>
    <row r="349" customFormat="false" ht="15" hidden="false" customHeight="false" outlineLevel="0" collapsed="false">
      <c r="A349" s="5" t="s">
        <v>721</v>
      </c>
      <c r="B349" s="5" t="s">
        <v>154</v>
      </c>
      <c r="C349" s="5" t="s">
        <v>226</v>
      </c>
      <c r="D349" s="5" t="s">
        <v>257</v>
      </c>
      <c r="E349" s="5" t="s">
        <v>160</v>
      </c>
      <c r="F349" s="16" t="n">
        <v>6030.888</v>
      </c>
      <c r="G349" s="16" t="n">
        <v>6030.888</v>
      </c>
      <c r="H349" s="17" t="n">
        <f aca="false">F349-G349</f>
        <v>0</v>
      </c>
      <c r="I349" s="18" t="n">
        <f aca="false">IF(E349="MUS",H349/F349,"")</f>
        <v>0</v>
      </c>
    </row>
    <row r="350" customFormat="false" ht="15" hidden="false" customHeight="false" outlineLevel="0" collapsed="false">
      <c r="A350" s="5" t="s">
        <v>722</v>
      </c>
      <c r="B350" s="5" t="s">
        <v>154</v>
      </c>
      <c r="C350" s="5" t="s">
        <v>226</v>
      </c>
      <c r="D350" s="5" t="s">
        <v>456</v>
      </c>
      <c r="E350" s="5" t="s">
        <v>160</v>
      </c>
      <c r="F350" s="16" t="n">
        <v>5796.174</v>
      </c>
      <c r="G350" s="16" t="n">
        <v>5796.174</v>
      </c>
      <c r="H350" s="17" t="n">
        <f aca="false">F350-G350</f>
        <v>0</v>
      </c>
      <c r="I350" s="18" t="n">
        <f aca="false">IF(E350="MUS",H350/F350,"")</f>
        <v>0</v>
      </c>
    </row>
    <row r="351" customFormat="false" ht="15" hidden="false" customHeight="false" outlineLevel="0" collapsed="false">
      <c r="A351" s="5" t="s">
        <v>723</v>
      </c>
      <c r="B351" s="5" t="s">
        <v>154</v>
      </c>
      <c r="C351" s="5" t="s">
        <v>155</v>
      </c>
      <c r="D351" s="5" t="s">
        <v>234</v>
      </c>
      <c r="E351" s="5" t="s">
        <v>160</v>
      </c>
      <c r="F351" s="16" t="n">
        <v>29389.068</v>
      </c>
      <c r="G351" s="16" t="n">
        <v>29389.068</v>
      </c>
      <c r="H351" s="17" t="n">
        <f aca="false">F351-G351</f>
        <v>0</v>
      </c>
      <c r="I351" s="18" t="n">
        <f aca="false">IF(E351="MUS",H351/F351,"")</f>
        <v>0</v>
      </c>
    </row>
    <row r="352" customFormat="false" ht="15" hidden="false" customHeight="false" outlineLevel="0" collapsed="false">
      <c r="A352" s="5" t="s">
        <v>724</v>
      </c>
      <c r="B352" s="5" t="s">
        <v>154</v>
      </c>
      <c r="C352" s="5" t="s">
        <v>166</v>
      </c>
      <c r="D352" s="5" t="s">
        <v>725</v>
      </c>
      <c r="E352" s="5" t="s">
        <v>160</v>
      </c>
      <c r="F352" s="16" t="n">
        <v>1478.35</v>
      </c>
      <c r="G352" s="16" t="n">
        <v>1478.35</v>
      </c>
      <c r="H352" s="17" t="n">
        <f aca="false">F352-G352</f>
        <v>0</v>
      </c>
      <c r="I352" s="18" t="n">
        <f aca="false">IF(E352="MUS",H352/F352,"")</f>
        <v>0</v>
      </c>
    </row>
    <row r="353" customFormat="false" ht="15" hidden="false" customHeight="false" outlineLevel="0" collapsed="false">
      <c r="A353" s="5" t="s">
        <v>726</v>
      </c>
      <c r="B353" s="5" t="s">
        <v>154</v>
      </c>
      <c r="C353" s="5" t="s">
        <v>171</v>
      </c>
      <c r="D353" s="5" t="s">
        <v>291</v>
      </c>
      <c r="E353" s="5" t="s">
        <v>160</v>
      </c>
      <c r="F353" s="16" t="n">
        <v>7998.434</v>
      </c>
      <c r="G353" s="16" t="n">
        <v>7998.434</v>
      </c>
      <c r="H353" s="17" t="n">
        <f aca="false">F353-G353</f>
        <v>0</v>
      </c>
      <c r="I353" s="18" t="n">
        <f aca="false">IF(E353="MUS",H353/F353,"")</f>
        <v>0</v>
      </c>
    </row>
    <row r="354" customFormat="false" ht="15" hidden="false" customHeight="false" outlineLevel="0" collapsed="false">
      <c r="A354" s="5" t="s">
        <v>727</v>
      </c>
      <c r="B354" s="5" t="s">
        <v>211</v>
      </c>
      <c r="C354" s="5" t="s">
        <v>212</v>
      </c>
      <c r="D354" s="5" t="s">
        <v>213</v>
      </c>
      <c r="E354" s="5" t="s">
        <v>160</v>
      </c>
      <c r="F354" s="16" t="n">
        <v>288.23</v>
      </c>
      <c r="G354" s="16" t="n">
        <v>288.23</v>
      </c>
      <c r="H354" s="17" t="n">
        <f aca="false">F354-G354</f>
        <v>0</v>
      </c>
      <c r="I354" s="18" t="n">
        <f aca="false">IF(E354="MUS",H354/F354,"")</f>
        <v>0</v>
      </c>
    </row>
    <row r="355" customFormat="false" ht="15" hidden="false" customHeight="false" outlineLevel="0" collapsed="false">
      <c r="A355" s="5" t="s">
        <v>728</v>
      </c>
      <c r="B355" s="5" t="s">
        <v>154</v>
      </c>
      <c r="C355" s="5" t="s">
        <v>171</v>
      </c>
      <c r="D355" s="5" t="s">
        <v>520</v>
      </c>
      <c r="E355" s="5" t="s">
        <v>160</v>
      </c>
      <c r="F355" s="16" t="n">
        <v>484.371</v>
      </c>
      <c r="G355" s="16" t="n">
        <v>439.498</v>
      </c>
      <c r="H355" s="17" t="n">
        <f aca="false">F355-G355</f>
        <v>44.873</v>
      </c>
      <c r="I355" s="18" t="n">
        <f aca="false">IF(E355="MUS",H355/F355,"")</f>
        <v>0.0926417973000035</v>
      </c>
    </row>
    <row r="356" customFormat="false" ht="15" hidden="false" customHeight="false" outlineLevel="0" collapsed="false">
      <c r="A356" s="5" t="s">
        <v>729</v>
      </c>
      <c r="B356" s="5" t="s">
        <v>154</v>
      </c>
      <c r="C356" s="5" t="s">
        <v>177</v>
      </c>
      <c r="D356" s="5" t="s">
        <v>730</v>
      </c>
      <c r="E356" s="5" t="s">
        <v>160</v>
      </c>
      <c r="F356" s="16" t="n">
        <v>598.018</v>
      </c>
      <c r="G356" s="16" t="n">
        <v>598.018</v>
      </c>
      <c r="H356" s="17" t="n">
        <f aca="false">F356-G356</f>
        <v>0</v>
      </c>
      <c r="I356" s="18" t="n">
        <f aca="false">IF(E356="MUS",H356/F356,"")</f>
        <v>0</v>
      </c>
    </row>
    <row r="357" customFormat="false" ht="15" hidden="false" customHeight="false" outlineLevel="0" collapsed="false">
      <c r="A357" s="5" t="s">
        <v>731</v>
      </c>
      <c r="B357" s="5" t="s">
        <v>154</v>
      </c>
      <c r="C357" s="5" t="s">
        <v>166</v>
      </c>
      <c r="D357" s="5" t="s">
        <v>715</v>
      </c>
      <c r="E357" s="5" t="s">
        <v>160</v>
      </c>
      <c r="F357" s="16" t="n">
        <v>26.656</v>
      </c>
      <c r="G357" s="16" t="n">
        <v>26.656</v>
      </c>
      <c r="H357" s="17" t="n">
        <f aca="false">F357-G357</f>
        <v>0</v>
      </c>
      <c r="I357" s="18" t="n">
        <f aca="false">IF(E357="MUS",H357/F357,"")</f>
        <v>0</v>
      </c>
    </row>
    <row r="358" customFormat="false" ht="15" hidden="false" customHeight="false" outlineLevel="0" collapsed="false">
      <c r="A358" s="5" t="s">
        <v>732</v>
      </c>
      <c r="B358" s="5" t="s">
        <v>154</v>
      </c>
      <c r="C358" s="5" t="s">
        <v>166</v>
      </c>
      <c r="D358" s="5" t="s">
        <v>252</v>
      </c>
      <c r="E358" s="5" t="s">
        <v>160</v>
      </c>
      <c r="F358" s="16" t="n">
        <v>2671.433</v>
      </c>
      <c r="G358" s="16" t="n">
        <v>2671.433</v>
      </c>
      <c r="H358" s="17" t="n">
        <f aca="false">F358-G358</f>
        <v>0</v>
      </c>
      <c r="I358" s="18" t="n">
        <f aca="false">IF(E358="MUS",H358/F358,"")</f>
        <v>0</v>
      </c>
    </row>
    <row r="359" customFormat="false" ht="15" hidden="false" customHeight="false" outlineLevel="0" collapsed="false">
      <c r="A359" s="5" t="s">
        <v>733</v>
      </c>
      <c r="B359" s="5" t="s">
        <v>211</v>
      </c>
      <c r="C359" s="5" t="s">
        <v>212</v>
      </c>
      <c r="D359" s="5" t="s">
        <v>213</v>
      </c>
      <c r="E359" s="5" t="s">
        <v>160</v>
      </c>
      <c r="F359" s="16" t="n">
        <v>1232.48</v>
      </c>
      <c r="G359" s="16" t="n">
        <v>1232.48</v>
      </c>
      <c r="H359" s="17" t="n">
        <f aca="false">F359-G359</f>
        <v>0</v>
      </c>
      <c r="I359" s="18" t="n">
        <f aca="false">IF(E359="MUS",H359/F359,"")</f>
        <v>0</v>
      </c>
    </row>
    <row r="360" customFormat="false" ht="15" hidden="false" customHeight="false" outlineLevel="0" collapsed="false">
      <c r="A360" s="5" t="s">
        <v>734</v>
      </c>
      <c r="B360" s="5" t="s">
        <v>154</v>
      </c>
      <c r="C360" s="5" t="s">
        <v>171</v>
      </c>
      <c r="D360" s="5" t="s">
        <v>478</v>
      </c>
      <c r="E360" s="5" t="s">
        <v>160</v>
      </c>
      <c r="F360" s="16" t="n">
        <v>1575.948</v>
      </c>
      <c r="G360" s="16" t="n">
        <v>1575.948</v>
      </c>
      <c r="H360" s="17" t="n">
        <f aca="false">F360-G360</f>
        <v>0</v>
      </c>
      <c r="I360" s="18" t="n">
        <f aca="false">IF(E360="MUS",H360/F360,"")</f>
        <v>0</v>
      </c>
    </row>
    <row r="361" customFormat="false" ht="15" hidden="false" customHeight="false" outlineLevel="0" collapsed="false">
      <c r="A361" s="5" t="s">
        <v>735</v>
      </c>
      <c r="B361" s="5" t="s">
        <v>154</v>
      </c>
      <c r="C361" s="5" t="s">
        <v>171</v>
      </c>
      <c r="D361" s="5" t="s">
        <v>725</v>
      </c>
      <c r="E361" s="5" t="s">
        <v>160</v>
      </c>
      <c r="F361" s="16" t="n">
        <v>5331.423</v>
      </c>
      <c r="G361" s="16" t="n">
        <v>5331.423</v>
      </c>
      <c r="H361" s="17" t="n">
        <f aca="false">F361-G361</f>
        <v>0</v>
      </c>
      <c r="I361" s="18" t="n">
        <f aca="false">IF(E361="MUS",H361/F361,"")</f>
        <v>0</v>
      </c>
    </row>
    <row r="362" customFormat="false" ht="15" hidden="false" customHeight="false" outlineLevel="0" collapsed="false">
      <c r="A362" s="5" t="s">
        <v>736</v>
      </c>
      <c r="B362" s="5" t="s">
        <v>154</v>
      </c>
      <c r="C362" s="5" t="s">
        <v>166</v>
      </c>
      <c r="D362" s="5" t="s">
        <v>737</v>
      </c>
      <c r="E362" s="5" t="s">
        <v>160</v>
      </c>
      <c r="F362" s="16" t="n">
        <v>1775.037</v>
      </c>
      <c r="G362" s="16" t="n">
        <v>1775.037</v>
      </c>
      <c r="H362" s="17" t="n">
        <f aca="false">F362-G362</f>
        <v>0</v>
      </c>
      <c r="I362" s="18" t="n">
        <f aca="false">IF(E362="MUS",H362/F362,"")</f>
        <v>0</v>
      </c>
    </row>
    <row r="363" customFormat="false" ht="15" hidden="false" customHeight="false" outlineLevel="0" collapsed="false">
      <c r="A363" s="5" t="s">
        <v>738</v>
      </c>
      <c r="B363" s="5" t="s">
        <v>154</v>
      </c>
      <c r="C363" s="5" t="s">
        <v>166</v>
      </c>
      <c r="D363" s="5" t="s">
        <v>436</v>
      </c>
      <c r="E363" s="5" t="s">
        <v>160</v>
      </c>
      <c r="F363" s="16" t="n">
        <v>1889.246</v>
      </c>
      <c r="G363" s="16" t="n">
        <v>1889.246</v>
      </c>
      <c r="H363" s="17" t="n">
        <f aca="false">F363-G363</f>
        <v>0</v>
      </c>
      <c r="I363" s="18" t="n">
        <f aca="false">IF(E363="MUS",H363/F363,"")</f>
        <v>0</v>
      </c>
    </row>
    <row r="364" customFormat="false" ht="15" hidden="false" customHeight="false" outlineLevel="0" collapsed="false">
      <c r="A364" s="5" t="s">
        <v>739</v>
      </c>
      <c r="B364" s="5" t="s">
        <v>154</v>
      </c>
      <c r="C364" s="5" t="s">
        <v>226</v>
      </c>
      <c r="D364" s="5" t="s">
        <v>713</v>
      </c>
      <c r="E364" s="5" t="s">
        <v>160</v>
      </c>
      <c r="F364" s="16" t="n">
        <v>22253.59</v>
      </c>
      <c r="G364" s="16" t="n">
        <v>22253.59</v>
      </c>
      <c r="H364" s="17" t="n">
        <f aca="false">F364-G364</f>
        <v>0</v>
      </c>
      <c r="I364" s="18" t="n">
        <f aca="false">IF(E364="MUS",H364/F364,"")</f>
        <v>0</v>
      </c>
    </row>
    <row r="365" customFormat="false" ht="15" hidden="false" customHeight="false" outlineLevel="0" collapsed="false">
      <c r="A365" s="5" t="s">
        <v>740</v>
      </c>
      <c r="B365" s="5" t="s">
        <v>154</v>
      </c>
      <c r="C365" s="5" t="s">
        <v>171</v>
      </c>
      <c r="D365" s="5" t="s">
        <v>627</v>
      </c>
      <c r="E365" s="5" t="s">
        <v>160</v>
      </c>
      <c r="F365" s="16" t="n">
        <v>1057.537</v>
      </c>
      <c r="G365" s="16" t="n">
        <v>1057.537</v>
      </c>
      <c r="H365" s="17" t="n">
        <f aca="false">F365-G365</f>
        <v>0</v>
      </c>
      <c r="I365" s="18" t="n">
        <f aca="false">IF(E365="MUS",H365/F365,"")</f>
        <v>0</v>
      </c>
    </row>
    <row r="366" customFormat="false" ht="15" hidden="false" customHeight="false" outlineLevel="0" collapsed="false">
      <c r="A366" s="5" t="s">
        <v>741</v>
      </c>
      <c r="B366" s="5" t="s">
        <v>211</v>
      </c>
      <c r="C366" s="5" t="s">
        <v>212</v>
      </c>
      <c r="D366" s="5" t="s">
        <v>213</v>
      </c>
      <c r="E366" s="5" t="s">
        <v>160</v>
      </c>
      <c r="F366" s="16" t="n">
        <v>475.206</v>
      </c>
      <c r="G366" s="16" t="n">
        <v>475.206</v>
      </c>
      <c r="H366" s="17" t="n">
        <f aca="false">F366-G366</f>
        <v>0</v>
      </c>
      <c r="I366" s="18" t="n">
        <f aca="false">IF(E366="MUS",H366/F366,"")</f>
        <v>0</v>
      </c>
    </row>
    <row r="367" customFormat="false" ht="15" hidden="false" customHeight="false" outlineLevel="0" collapsed="false">
      <c r="A367" s="5" t="s">
        <v>742</v>
      </c>
      <c r="B367" s="5" t="s">
        <v>154</v>
      </c>
      <c r="C367" s="5" t="s">
        <v>174</v>
      </c>
      <c r="D367" s="5" t="s">
        <v>743</v>
      </c>
      <c r="E367" s="5" t="s">
        <v>160</v>
      </c>
      <c r="F367" s="16" t="n">
        <v>1040.714</v>
      </c>
      <c r="G367" s="16" t="n">
        <v>1040.714</v>
      </c>
      <c r="H367" s="17" t="n">
        <f aca="false">F367-G367</f>
        <v>0</v>
      </c>
      <c r="I367" s="18" t="n">
        <f aca="false">IF(E367="MUS",H367/F367,"")</f>
        <v>0</v>
      </c>
    </row>
    <row r="368" customFormat="false" ht="15" hidden="false" customHeight="false" outlineLevel="0" collapsed="false">
      <c r="A368" s="5" t="s">
        <v>744</v>
      </c>
      <c r="B368" s="5" t="s">
        <v>154</v>
      </c>
      <c r="C368" s="5" t="s">
        <v>155</v>
      </c>
      <c r="D368" s="5" t="s">
        <v>745</v>
      </c>
      <c r="E368" s="5" t="s">
        <v>160</v>
      </c>
      <c r="F368" s="16" t="n">
        <v>2553.966</v>
      </c>
      <c r="G368" s="16" t="n">
        <v>2553.966</v>
      </c>
      <c r="H368" s="17" t="n">
        <f aca="false">F368-G368</f>
        <v>0</v>
      </c>
      <c r="I368" s="18" t="n">
        <f aca="false">IF(E368="MUS",H368/F368,"")</f>
        <v>0</v>
      </c>
    </row>
    <row r="369" customFormat="false" ht="15" hidden="false" customHeight="false" outlineLevel="0" collapsed="false">
      <c r="A369" s="5" t="s">
        <v>746</v>
      </c>
      <c r="B369" s="5" t="s">
        <v>154</v>
      </c>
      <c r="C369" s="5" t="s">
        <v>166</v>
      </c>
      <c r="D369" s="5" t="s">
        <v>747</v>
      </c>
      <c r="E369" s="5" t="s">
        <v>160</v>
      </c>
      <c r="F369" s="16" t="n">
        <v>102.277</v>
      </c>
      <c r="G369" s="16" t="n">
        <v>102.277</v>
      </c>
      <c r="H369" s="17" t="n">
        <f aca="false">F369-G369</f>
        <v>0</v>
      </c>
      <c r="I369" s="18" t="n">
        <f aca="false">IF(E369="MUS",H369/F369,"")</f>
        <v>0</v>
      </c>
    </row>
    <row r="370" customFormat="false" ht="15" hidden="false" customHeight="false" outlineLevel="0" collapsed="false">
      <c r="A370" s="5" t="s">
        <v>748</v>
      </c>
      <c r="B370" s="5" t="s">
        <v>154</v>
      </c>
      <c r="C370" s="5" t="s">
        <v>190</v>
      </c>
      <c r="D370" s="5" t="s">
        <v>648</v>
      </c>
      <c r="E370" s="5" t="s">
        <v>160</v>
      </c>
      <c r="F370" s="16" t="n">
        <v>11.18</v>
      </c>
      <c r="G370" s="16" t="n">
        <v>11.18</v>
      </c>
      <c r="H370" s="17" t="n">
        <f aca="false">F370-G370</f>
        <v>0</v>
      </c>
      <c r="I370" s="18" t="n">
        <f aca="false">IF(E370="MUS",H370/F370,"")</f>
        <v>0</v>
      </c>
    </row>
    <row r="371" customFormat="false" ht="15" hidden="false" customHeight="false" outlineLevel="0" collapsed="false">
      <c r="A371" s="5" t="s">
        <v>749</v>
      </c>
      <c r="B371" s="5" t="s">
        <v>154</v>
      </c>
      <c r="C371" s="5" t="s">
        <v>155</v>
      </c>
      <c r="D371" s="5" t="s">
        <v>236</v>
      </c>
      <c r="E371" s="5" t="s">
        <v>160</v>
      </c>
      <c r="F371" s="16" t="n">
        <v>1337.395</v>
      </c>
      <c r="G371" s="16" t="n">
        <v>1337.395</v>
      </c>
      <c r="H371" s="17" t="n">
        <f aca="false">F371-G371</f>
        <v>0</v>
      </c>
      <c r="I371" s="18" t="n">
        <f aca="false">IF(E371="MUS",H371/F371,"")</f>
        <v>0</v>
      </c>
    </row>
    <row r="372" customFormat="false" ht="15" hidden="false" customHeight="false" outlineLevel="0" collapsed="false">
      <c r="A372" s="5" t="s">
        <v>750</v>
      </c>
      <c r="B372" s="5" t="s">
        <v>154</v>
      </c>
      <c r="C372" s="5" t="s">
        <v>190</v>
      </c>
      <c r="D372" s="5" t="s">
        <v>465</v>
      </c>
      <c r="E372" s="5" t="s">
        <v>160</v>
      </c>
      <c r="F372" s="16" t="n">
        <v>221.508</v>
      </c>
      <c r="G372" s="16" t="n">
        <v>221.508</v>
      </c>
      <c r="H372" s="17" t="n">
        <f aca="false">F372-G372</f>
        <v>0</v>
      </c>
      <c r="I372" s="18" t="n">
        <f aca="false">IF(E372="MUS",H372/F372,"")</f>
        <v>0</v>
      </c>
    </row>
    <row r="373" customFormat="false" ht="15" hidden="false" customHeight="false" outlineLevel="0" collapsed="false">
      <c r="A373" s="5" t="s">
        <v>751</v>
      </c>
      <c r="B373" s="5" t="s">
        <v>154</v>
      </c>
      <c r="C373" s="5" t="s">
        <v>190</v>
      </c>
      <c r="D373" s="5" t="s">
        <v>752</v>
      </c>
      <c r="E373" s="5" t="s">
        <v>160</v>
      </c>
      <c r="F373" s="16" t="n">
        <v>32.467</v>
      </c>
      <c r="G373" s="16" t="n">
        <v>32.467</v>
      </c>
      <c r="H373" s="17" t="n">
        <f aca="false">F373-G373</f>
        <v>0</v>
      </c>
      <c r="I373" s="18" t="n">
        <f aca="false">IF(E373="MUS",H373/F373,"")</f>
        <v>0</v>
      </c>
    </row>
    <row r="374" customFormat="false" ht="15" hidden="false" customHeight="false" outlineLevel="0" collapsed="false">
      <c r="A374" s="5" t="s">
        <v>753</v>
      </c>
      <c r="B374" s="5" t="s">
        <v>154</v>
      </c>
      <c r="C374" s="5" t="s">
        <v>226</v>
      </c>
      <c r="D374" s="5" t="s">
        <v>546</v>
      </c>
      <c r="E374" s="5" t="s">
        <v>160</v>
      </c>
      <c r="F374" s="16" t="n">
        <v>9873.238</v>
      </c>
      <c r="G374" s="16" t="n">
        <v>9873.238</v>
      </c>
      <c r="H374" s="17" t="n">
        <f aca="false">F374-G374</f>
        <v>0</v>
      </c>
      <c r="I374" s="18" t="n">
        <f aca="false">IF(E374="MUS",H374/F374,"")</f>
        <v>0</v>
      </c>
    </row>
    <row r="375" customFormat="false" ht="15" hidden="false" customHeight="false" outlineLevel="0" collapsed="false">
      <c r="A375" s="5" t="s">
        <v>754</v>
      </c>
      <c r="B375" s="5" t="s">
        <v>154</v>
      </c>
      <c r="C375" s="5" t="s">
        <v>190</v>
      </c>
      <c r="D375" s="5" t="s">
        <v>755</v>
      </c>
      <c r="E375" s="5" t="s">
        <v>160</v>
      </c>
      <c r="F375" s="16" t="n">
        <v>2897.971</v>
      </c>
      <c r="G375" s="16" t="n">
        <v>2897.971</v>
      </c>
      <c r="H375" s="17" t="n">
        <f aca="false">F375-G375</f>
        <v>0</v>
      </c>
      <c r="I375" s="18" t="n">
        <f aca="false">IF(E375="MUS",H375/F375,"")</f>
        <v>0</v>
      </c>
    </row>
    <row r="376" customFormat="false" ht="15" hidden="false" customHeight="false" outlineLevel="0" collapsed="false">
      <c r="A376" s="5" t="s">
        <v>756</v>
      </c>
      <c r="B376" s="5" t="s">
        <v>154</v>
      </c>
      <c r="C376" s="5" t="s">
        <v>166</v>
      </c>
      <c r="D376" s="5" t="s">
        <v>757</v>
      </c>
      <c r="E376" s="5" t="s">
        <v>160</v>
      </c>
      <c r="F376" s="16" t="n">
        <v>4795.956</v>
      </c>
      <c r="G376" s="16" t="n">
        <v>4795.956</v>
      </c>
      <c r="H376" s="17" t="n">
        <f aca="false">F376-G376</f>
        <v>0</v>
      </c>
      <c r="I376" s="18" t="n">
        <f aca="false">IF(E376="MUS",H376/F376,"")</f>
        <v>0</v>
      </c>
    </row>
    <row r="377" customFormat="false" ht="15" hidden="false" customHeight="false" outlineLevel="0" collapsed="false">
      <c r="A377" s="5" t="s">
        <v>758</v>
      </c>
      <c r="B377" s="5" t="s">
        <v>154</v>
      </c>
      <c r="C377" s="5" t="s">
        <v>171</v>
      </c>
      <c r="D377" s="5" t="s">
        <v>445</v>
      </c>
      <c r="E377" s="5" t="s">
        <v>160</v>
      </c>
      <c r="F377" s="16" t="n">
        <v>450.78</v>
      </c>
      <c r="G377" s="16" t="n">
        <v>450.78</v>
      </c>
      <c r="H377" s="17" t="n">
        <f aca="false">F377-G377</f>
        <v>0</v>
      </c>
      <c r="I377" s="18" t="n">
        <f aca="false">IF(E377="MUS",H377/F377,"")</f>
        <v>0</v>
      </c>
    </row>
    <row r="378" customFormat="false" ht="15" hidden="false" customHeight="false" outlineLevel="0" collapsed="false">
      <c r="A378" s="5" t="s">
        <v>759</v>
      </c>
      <c r="B378" s="5" t="s">
        <v>154</v>
      </c>
      <c r="C378" s="5" t="s">
        <v>171</v>
      </c>
      <c r="D378" s="5" t="s">
        <v>159</v>
      </c>
      <c r="E378" s="5" t="s">
        <v>160</v>
      </c>
      <c r="F378" s="16" t="n">
        <v>988.891</v>
      </c>
      <c r="G378" s="16" t="n">
        <v>988.891</v>
      </c>
      <c r="H378" s="17" t="n">
        <f aca="false">F378-G378</f>
        <v>0</v>
      </c>
      <c r="I378" s="18" t="n">
        <f aca="false">IF(E378="MUS",H378/F378,"")</f>
        <v>0</v>
      </c>
    </row>
    <row r="379" customFormat="false" ht="15" hidden="false" customHeight="false" outlineLevel="0" collapsed="false">
      <c r="A379" s="5" t="s">
        <v>760</v>
      </c>
      <c r="B379" s="5" t="s">
        <v>154</v>
      </c>
      <c r="C379" s="5" t="s">
        <v>166</v>
      </c>
      <c r="D379" s="5" t="s">
        <v>553</v>
      </c>
      <c r="E379" s="5" t="s">
        <v>160</v>
      </c>
      <c r="F379" s="16" t="n">
        <v>431.993</v>
      </c>
      <c r="G379" s="16" t="n">
        <v>431.993</v>
      </c>
      <c r="H379" s="17" t="n">
        <f aca="false">F379-G379</f>
        <v>0</v>
      </c>
      <c r="I379" s="18" t="n">
        <f aca="false">IF(E379="MUS",H379/F379,"")</f>
        <v>0</v>
      </c>
    </row>
    <row r="380" customFormat="false" ht="15" hidden="false" customHeight="false" outlineLevel="0" collapsed="false">
      <c r="A380" s="5" t="s">
        <v>761</v>
      </c>
      <c r="B380" s="5" t="s">
        <v>154</v>
      </c>
      <c r="C380" s="5" t="s">
        <v>166</v>
      </c>
      <c r="D380" s="5" t="s">
        <v>397</v>
      </c>
      <c r="E380" s="5" t="s">
        <v>160</v>
      </c>
      <c r="F380" s="16" t="n">
        <v>1100.305</v>
      </c>
      <c r="G380" s="16" t="n">
        <v>1100.305</v>
      </c>
      <c r="H380" s="17" t="n">
        <f aca="false">F380-G380</f>
        <v>0</v>
      </c>
      <c r="I380" s="18" t="n">
        <f aca="false">IF(E380="MUS",H380/F380,"")</f>
        <v>0</v>
      </c>
    </row>
    <row r="381" customFormat="false" ht="15" hidden="false" customHeight="false" outlineLevel="0" collapsed="false">
      <c r="A381" s="5" t="s">
        <v>762</v>
      </c>
      <c r="B381" s="5" t="s">
        <v>154</v>
      </c>
      <c r="C381" s="5" t="s">
        <v>166</v>
      </c>
      <c r="D381" s="5" t="s">
        <v>763</v>
      </c>
      <c r="E381" s="5" t="s">
        <v>160</v>
      </c>
      <c r="F381" s="16" t="n">
        <v>6089.716</v>
      </c>
      <c r="G381" s="16" t="n">
        <v>6089.716</v>
      </c>
      <c r="H381" s="17" t="n">
        <f aca="false">F381-G381</f>
        <v>0</v>
      </c>
      <c r="I381" s="18" t="n">
        <f aca="false">IF(E381="MUS",H381/F381,"")</f>
        <v>0</v>
      </c>
    </row>
    <row r="382" customFormat="false" ht="15" hidden="false" customHeight="false" outlineLevel="0" collapsed="false">
      <c r="A382" s="5" t="s">
        <v>764</v>
      </c>
      <c r="B382" s="5" t="s">
        <v>154</v>
      </c>
      <c r="C382" s="5" t="s">
        <v>166</v>
      </c>
      <c r="D382" s="5" t="s">
        <v>765</v>
      </c>
      <c r="E382" s="5" t="s">
        <v>160</v>
      </c>
      <c r="F382" s="16" t="n">
        <v>1176.056</v>
      </c>
      <c r="G382" s="16" t="n">
        <v>1176.056</v>
      </c>
      <c r="H382" s="17" t="n">
        <f aca="false">F382-G382</f>
        <v>0</v>
      </c>
      <c r="I382" s="18" t="n">
        <f aca="false">IF(E382="MUS",H382/F382,"")</f>
        <v>0</v>
      </c>
    </row>
    <row r="383" customFormat="false" ht="15" hidden="false" customHeight="false" outlineLevel="0" collapsed="false">
      <c r="A383" s="5" t="s">
        <v>766</v>
      </c>
      <c r="B383" s="5" t="s">
        <v>154</v>
      </c>
      <c r="C383" s="5" t="s">
        <v>171</v>
      </c>
      <c r="D383" s="5" t="s">
        <v>767</v>
      </c>
      <c r="E383" s="5" t="s">
        <v>160</v>
      </c>
      <c r="F383" s="16" t="n">
        <v>11728.964</v>
      </c>
      <c r="G383" s="16" t="n">
        <v>11728.964</v>
      </c>
      <c r="H383" s="17" t="n">
        <f aca="false">F383-G383</f>
        <v>0</v>
      </c>
      <c r="I383" s="18" t="n">
        <f aca="false">IF(E383="MUS",H383/F383,"")</f>
        <v>0</v>
      </c>
    </row>
    <row r="384" customFormat="false" ht="15" hidden="false" customHeight="false" outlineLevel="0" collapsed="false">
      <c r="A384" s="5" t="s">
        <v>768</v>
      </c>
      <c r="B384" s="5" t="s">
        <v>154</v>
      </c>
      <c r="C384" s="5" t="s">
        <v>177</v>
      </c>
      <c r="D384" s="5" t="s">
        <v>476</v>
      </c>
      <c r="E384" s="5" t="s">
        <v>160</v>
      </c>
      <c r="F384" s="16" t="n">
        <v>34.991</v>
      </c>
      <c r="G384" s="16" t="n">
        <v>34.991</v>
      </c>
      <c r="H384" s="17" t="n">
        <f aca="false">F384-G384</f>
        <v>0</v>
      </c>
      <c r="I384" s="18" t="n">
        <f aca="false">IF(E384="MUS",H384/F384,"")</f>
        <v>0</v>
      </c>
    </row>
    <row r="385" customFormat="false" ht="15" hidden="false" customHeight="false" outlineLevel="0" collapsed="false">
      <c r="A385" s="5" t="s">
        <v>769</v>
      </c>
      <c r="B385" s="5" t="s">
        <v>154</v>
      </c>
      <c r="C385" s="5" t="s">
        <v>174</v>
      </c>
      <c r="D385" s="5" t="s">
        <v>755</v>
      </c>
      <c r="E385" s="5" t="s">
        <v>160</v>
      </c>
      <c r="F385" s="16" t="n">
        <v>177.6</v>
      </c>
      <c r="G385" s="16" t="n">
        <v>177.6</v>
      </c>
      <c r="H385" s="17" t="n">
        <f aca="false">F385-G385</f>
        <v>0</v>
      </c>
      <c r="I385" s="18" t="n">
        <f aca="false">IF(E385="MUS",H385/F385,"")</f>
        <v>0</v>
      </c>
    </row>
    <row r="386" customFormat="false" ht="15" hidden="false" customHeight="false" outlineLevel="0" collapsed="false">
      <c r="A386" s="5" t="s">
        <v>770</v>
      </c>
      <c r="B386" s="5" t="s">
        <v>154</v>
      </c>
      <c r="C386" s="5" t="s">
        <v>177</v>
      </c>
      <c r="D386" s="5" t="s">
        <v>771</v>
      </c>
      <c r="E386" s="5" t="s">
        <v>160</v>
      </c>
      <c r="F386" s="16" t="n">
        <v>1760.166</v>
      </c>
      <c r="G386" s="16" t="n">
        <v>1760.166</v>
      </c>
      <c r="H386" s="17" t="n">
        <f aca="false">F386-G386</f>
        <v>0</v>
      </c>
      <c r="I386" s="18" t="n">
        <f aca="false">IF(E386="MUS",H386/F386,"")</f>
        <v>0</v>
      </c>
    </row>
    <row r="387" customFormat="false" ht="15" hidden="false" customHeight="false" outlineLevel="0" collapsed="false">
      <c r="A387" s="5" t="s">
        <v>772</v>
      </c>
      <c r="B387" s="5" t="s">
        <v>154</v>
      </c>
      <c r="C387" s="5" t="s">
        <v>171</v>
      </c>
      <c r="D387" s="5" t="s">
        <v>567</v>
      </c>
      <c r="E387" s="5" t="s">
        <v>160</v>
      </c>
      <c r="F387" s="16" t="n">
        <v>897.781</v>
      </c>
      <c r="G387" s="16" t="n">
        <v>897.781</v>
      </c>
      <c r="H387" s="17" t="n">
        <f aca="false">F387-G387</f>
        <v>0</v>
      </c>
      <c r="I387" s="18" t="n">
        <f aca="false">IF(E387="MUS",H387/F387,"")</f>
        <v>0</v>
      </c>
    </row>
    <row r="388" customFormat="false" ht="15" hidden="false" customHeight="false" outlineLevel="0" collapsed="false">
      <c r="A388" s="5" t="s">
        <v>773</v>
      </c>
      <c r="B388" s="5" t="s">
        <v>154</v>
      </c>
      <c r="C388" s="5" t="s">
        <v>174</v>
      </c>
      <c r="D388" s="5" t="s">
        <v>774</v>
      </c>
      <c r="E388" s="5" t="s">
        <v>160</v>
      </c>
      <c r="F388" s="16" t="n">
        <v>5159.945</v>
      </c>
      <c r="G388" s="16" t="n">
        <v>5159.945</v>
      </c>
      <c r="H388" s="17" t="n">
        <f aca="false">F388-G388</f>
        <v>0</v>
      </c>
      <c r="I388" s="18" t="n">
        <f aca="false">IF(E388="MUS",H388/F388,"")</f>
        <v>0</v>
      </c>
    </row>
    <row r="389" customFormat="false" ht="15" hidden="false" customHeight="false" outlineLevel="0" collapsed="false">
      <c r="A389" s="5" t="s">
        <v>775</v>
      </c>
      <c r="B389" s="5" t="s">
        <v>154</v>
      </c>
      <c r="C389" s="5" t="s">
        <v>171</v>
      </c>
      <c r="D389" s="5" t="s">
        <v>776</v>
      </c>
      <c r="E389" s="5" t="s">
        <v>160</v>
      </c>
      <c r="F389" s="16" t="n">
        <v>681.979</v>
      </c>
      <c r="G389" s="16" t="n">
        <v>681.979</v>
      </c>
      <c r="H389" s="17" t="n">
        <f aca="false">F389-G389</f>
        <v>0</v>
      </c>
      <c r="I389" s="18" t="n">
        <f aca="false">IF(E389="MUS",H389/F389,"")</f>
        <v>0</v>
      </c>
    </row>
    <row r="390" customFormat="false" ht="15" hidden="false" customHeight="false" outlineLevel="0" collapsed="false">
      <c r="A390" s="5" t="s">
        <v>777</v>
      </c>
      <c r="B390" s="5" t="s">
        <v>154</v>
      </c>
      <c r="C390" s="5" t="s">
        <v>166</v>
      </c>
      <c r="D390" s="5" t="s">
        <v>261</v>
      </c>
      <c r="E390" s="5" t="s">
        <v>160</v>
      </c>
      <c r="F390" s="16" t="n">
        <v>959.091</v>
      </c>
      <c r="G390" s="16" t="n">
        <v>959.091</v>
      </c>
      <c r="H390" s="17" t="n">
        <f aca="false">F390-G390</f>
        <v>0</v>
      </c>
      <c r="I390" s="18" t="n">
        <f aca="false">IF(E390="MUS",H390/F390,"")</f>
        <v>0</v>
      </c>
    </row>
    <row r="391" customFormat="false" ht="15" hidden="false" customHeight="false" outlineLevel="0" collapsed="false">
      <c r="A391" s="5" t="s">
        <v>778</v>
      </c>
      <c r="B391" s="5" t="s">
        <v>154</v>
      </c>
      <c r="C391" s="5" t="s">
        <v>650</v>
      </c>
      <c r="D391" s="5" t="s">
        <v>779</v>
      </c>
      <c r="E391" s="5" t="s">
        <v>160</v>
      </c>
      <c r="F391" s="16" t="n">
        <v>417.543</v>
      </c>
      <c r="G391" s="16" t="n">
        <v>417.543</v>
      </c>
      <c r="H391" s="17" t="n">
        <f aca="false">F391-G391</f>
        <v>0</v>
      </c>
      <c r="I391" s="18" t="n">
        <f aca="false">IF(E391="MUS",H391/F391,"")</f>
        <v>0</v>
      </c>
    </row>
    <row r="392" customFormat="false" ht="15" hidden="false" customHeight="false" outlineLevel="0" collapsed="false">
      <c r="A392" s="5" t="s">
        <v>780</v>
      </c>
      <c r="B392" s="5" t="s">
        <v>154</v>
      </c>
      <c r="C392" s="5" t="s">
        <v>174</v>
      </c>
      <c r="D392" s="5" t="s">
        <v>755</v>
      </c>
      <c r="E392" s="5" t="s">
        <v>160</v>
      </c>
      <c r="F392" s="16" t="n">
        <v>136.578</v>
      </c>
      <c r="G392" s="16" t="n">
        <v>136.578</v>
      </c>
      <c r="H392" s="17" t="n">
        <f aca="false">F392-G392</f>
        <v>0</v>
      </c>
      <c r="I392" s="18" t="n">
        <f aca="false">IF(E392="MUS",H392/F392,"")</f>
        <v>0</v>
      </c>
    </row>
    <row r="393" customFormat="false" ht="15" hidden="false" customHeight="false" outlineLevel="0" collapsed="false">
      <c r="A393" s="5" t="s">
        <v>781</v>
      </c>
      <c r="B393" s="5" t="s">
        <v>154</v>
      </c>
      <c r="C393" s="5" t="s">
        <v>171</v>
      </c>
      <c r="D393" s="5" t="s">
        <v>531</v>
      </c>
      <c r="E393" s="5" t="s">
        <v>160</v>
      </c>
      <c r="F393" s="16" t="n">
        <v>5273.586</v>
      </c>
      <c r="G393" s="16" t="n">
        <v>5273.586</v>
      </c>
      <c r="H393" s="17" t="n">
        <f aca="false">F393-G393</f>
        <v>0</v>
      </c>
      <c r="I393" s="18" t="n">
        <f aca="false">IF(E393="MUS",H393/F393,"")</f>
        <v>0</v>
      </c>
    </row>
    <row r="394" customFormat="false" ht="15" hidden="false" customHeight="false" outlineLevel="0" collapsed="false">
      <c r="A394" s="5" t="s">
        <v>782</v>
      </c>
      <c r="B394" s="5" t="s">
        <v>154</v>
      </c>
      <c r="C394" s="5" t="s">
        <v>171</v>
      </c>
      <c r="D394" s="5" t="s">
        <v>571</v>
      </c>
      <c r="E394" s="5" t="s">
        <v>160</v>
      </c>
      <c r="F394" s="16" t="n">
        <v>365.505</v>
      </c>
      <c r="G394" s="16" t="n">
        <v>365.505</v>
      </c>
      <c r="H394" s="17" t="n">
        <f aca="false">F394-G394</f>
        <v>0</v>
      </c>
      <c r="I394" s="18" t="n">
        <f aca="false">IF(E394="MUS",H394/F394,"")</f>
        <v>0</v>
      </c>
    </row>
    <row r="395" customFormat="false" ht="15" hidden="false" customHeight="false" outlineLevel="0" collapsed="false">
      <c r="A395" s="5" t="s">
        <v>783</v>
      </c>
      <c r="B395" s="5" t="s">
        <v>154</v>
      </c>
      <c r="C395" s="5" t="s">
        <v>155</v>
      </c>
      <c r="D395" s="5" t="s">
        <v>784</v>
      </c>
      <c r="E395" s="5" t="s">
        <v>160</v>
      </c>
      <c r="F395" s="16" t="n">
        <v>34043.672</v>
      </c>
      <c r="G395" s="16" t="n">
        <v>34043.672</v>
      </c>
      <c r="H395" s="17" t="n">
        <f aca="false">F395-G395</f>
        <v>0</v>
      </c>
      <c r="I395" s="18" t="n">
        <f aca="false">IF(E395="MUS",H395/F395,"")</f>
        <v>0</v>
      </c>
    </row>
    <row r="396" customFormat="false" ht="15" hidden="false" customHeight="false" outlineLevel="0" collapsed="false">
      <c r="A396" s="5" t="s">
        <v>785</v>
      </c>
      <c r="B396" s="5" t="s">
        <v>154</v>
      </c>
      <c r="C396" s="5" t="s">
        <v>190</v>
      </c>
      <c r="D396" s="5" t="s">
        <v>646</v>
      </c>
      <c r="E396" s="5" t="s">
        <v>160</v>
      </c>
      <c r="F396" s="16" t="n">
        <v>18.052</v>
      </c>
      <c r="G396" s="16" t="n">
        <v>18.052</v>
      </c>
      <c r="H396" s="17" t="n">
        <f aca="false">F396-G396</f>
        <v>0</v>
      </c>
      <c r="I396" s="18" t="n">
        <f aca="false">IF(E396="MUS",H396/F396,"")</f>
        <v>0</v>
      </c>
    </row>
    <row r="397" customFormat="false" ht="15" hidden="false" customHeight="false" outlineLevel="0" collapsed="false">
      <c r="A397" s="5" t="s">
        <v>786</v>
      </c>
      <c r="B397" s="5" t="s">
        <v>154</v>
      </c>
      <c r="C397" s="5" t="s">
        <v>171</v>
      </c>
      <c r="D397" s="5" t="s">
        <v>787</v>
      </c>
      <c r="E397" s="5" t="s">
        <v>160</v>
      </c>
      <c r="F397" s="16" t="n">
        <v>1219.391</v>
      </c>
      <c r="G397" s="16" t="n">
        <v>1219.391</v>
      </c>
      <c r="H397" s="17" t="n">
        <f aca="false">F397-G397</f>
        <v>0</v>
      </c>
      <c r="I397" s="18" t="n">
        <f aca="false">IF(E397="MUS",H397/F397,"")</f>
        <v>0</v>
      </c>
    </row>
    <row r="398" customFormat="false" ht="15" hidden="false" customHeight="false" outlineLevel="0" collapsed="false">
      <c r="A398" s="5" t="s">
        <v>788</v>
      </c>
      <c r="B398" s="5" t="s">
        <v>154</v>
      </c>
      <c r="C398" s="5" t="s">
        <v>650</v>
      </c>
      <c r="D398" s="5" t="s">
        <v>789</v>
      </c>
      <c r="E398" s="5" t="s">
        <v>160</v>
      </c>
      <c r="F398" s="16" t="n">
        <v>137.48</v>
      </c>
      <c r="G398" s="16" t="n">
        <v>137.48</v>
      </c>
      <c r="H398" s="17" t="n">
        <f aca="false">F398-G398</f>
        <v>0</v>
      </c>
      <c r="I398" s="18" t="n">
        <f aca="false">IF(E398="MUS",H398/F398,"")</f>
        <v>0</v>
      </c>
    </row>
    <row r="399" customFormat="false" ht="15" hidden="false" customHeight="false" outlineLevel="0" collapsed="false">
      <c r="A399" s="5" t="s">
        <v>790</v>
      </c>
      <c r="B399" s="5" t="s">
        <v>154</v>
      </c>
      <c r="C399" s="5" t="s">
        <v>171</v>
      </c>
      <c r="D399" s="5" t="s">
        <v>241</v>
      </c>
      <c r="E399" s="5" t="s">
        <v>160</v>
      </c>
      <c r="F399" s="16" t="n">
        <v>555.955</v>
      </c>
      <c r="G399" s="16" t="n">
        <v>555.955</v>
      </c>
      <c r="H399" s="17" t="n">
        <f aca="false">F399-G399</f>
        <v>0</v>
      </c>
      <c r="I399" s="18" t="n">
        <f aca="false">IF(E399="MUS",H399/F399,"")</f>
        <v>0</v>
      </c>
    </row>
    <row r="400" customFormat="false" ht="15" hidden="false" customHeight="false" outlineLevel="0" collapsed="false">
      <c r="A400" s="5" t="s">
        <v>791</v>
      </c>
      <c r="B400" s="5" t="s">
        <v>154</v>
      </c>
      <c r="C400" s="5" t="s">
        <v>190</v>
      </c>
      <c r="D400" s="5" t="s">
        <v>787</v>
      </c>
      <c r="E400" s="5" t="s">
        <v>160</v>
      </c>
      <c r="F400" s="16" t="n">
        <v>84.936</v>
      </c>
      <c r="G400" s="16" t="n">
        <v>84.936</v>
      </c>
      <c r="H400" s="17" t="n">
        <f aca="false">F400-G400</f>
        <v>0</v>
      </c>
      <c r="I400" s="18" t="n">
        <f aca="false">IF(E400="MUS",H400/F400,"")</f>
        <v>0</v>
      </c>
    </row>
    <row r="401" customFormat="false" ht="15" hidden="false" customHeight="false" outlineLevel="0" collapsed="false">
      <c r="A401" s="5" t="s">
        <v>792</v>
      </c>
      <c r="B401" s="5" t="s">
        <v>154</v>
      </c>
      <c r="C401" s="5" t="s">
        <v>166</v>
      </c>
      <c r="D401" s="5" t="s">
        <v>793</v>
      </c>
      <c r="E401" s="5" t="s">
        <v>160</v>
      </c>
      <c r="F401" s="16" t="n">
        <v>10645.152</v>
      </c>
      <c r="G401" s="16" t="n">
        <v>10645.152</v>
      </c>
      <c r="H401" s="17" t="n">
        <f aca="false">F401-G401</f>
        <v>0</v>
      </c>
      <c r="I401" s="18" t="n">
        <f aca="false">IF(E401="MUS",H401/F401,"")</f>
        <v>0</v>
      </c>
    </row>
    <row r="402" customFormat="false" ht="15" hidden="false" customHeight="false" outlineLevel="0" collapsed="false">
      <c r="A402" s="5" t="s">
        <v>794</v>
      </c>
      <c r="B402" s="5" t="s">
        <v>154</v>
      </c>
      <c r="C402" s="5" t="s">
        <v>190</v>
      </c>
      <c r="D402" s="5" t="s">
        <v>321</v>
      </c>
      <c r="E402" s="5" t="s">
        <v>160</v>
      </c>
      <c r="F402" s="16" t="n">
        <v>905.817</v>
      </c>
      <c r="G402" s="16" t="n">
        <v>905.817</v>
      </c>
      <c r="H402" s="17" t="n">
        <f aca="false">F402-G402</f>
        <v>0</v>
      </c>
      <c r="I402" s="18" t="n">
        <f aca="false">IF(E402="MUS",H402/F402,"")</f>
        <v>0</v>
      </c>
    </row>
    <row r="403" customFormat="false" ht="15" hidden="false" customHeight="false" outlineLevel="0" collapsed="false">
      <c r="A403" s="5" t="s">
        <v>795</v>
      </c>
      <c r="B403" s="5" t="s">
        <v>154</v>
      </c>
      <c r="C403" s="5" t="s">
        <v>174</v>
      </c>
      <c r="D403" s="5" t="s">
        <v>796</v>
      </c>
      <c r="E403" s="5" t="s">
        <v>160</v>
      </c>
      <c r="F403" s="16" t="n">
        <v>298.842</v>
      </c>
      <c r="G403" s="16" t="n">
        <v>298.842</v>
      </c>
      <c r="H403" s="17" t="n">
        <f aca="false">F403-G403</f>
        <v>0</v>
      </c>
      <c r="I403" s="18" t="n">
        <f aca="false">IF(E403="MUS",H403/F403,"")</f>
        <v>0</v>
      </c>
    </row>
    <row r="404" customFormat="false" ht="15" hidden="false" customHeight="false" outlineLevel="0" collapsed="false">
      <c r="A404" s="5" t="s">
        <v>797</v>
      </c>
      <c r="B404" s="5" t="s">
        <v>154</v>
      </c>
      <c r="C404" s="5" t="s">
        <v>174</v>
      </c>
      <c r="D404" s="5" t="s">
        <v>798</v>
      </c>
      <c r="E404" s="5" t="s">
        <v>160</v>
      </c>
      <c r="F404" s="16" t="n">
        <v>342.349</v>
      </c>
      <c r="G404" s="16" t="n">
        <v>342.349</v>
      </c>
      <c r="H404" s="17" t="n">
        <f aca="false">F404-G404</f>
        <v>0</v>
      </c>
      <c r="I404" s="18" t="n">
        <f aca="false">IF(E404="MUS",H404/F404,"")</f>
        <v>0</v>
      </c>
    </row>
    <row r="405" customFormat="false" ht="15" hidden="false" customHeight="false" outlineLevel="0" collapsed="false">
      <c r="A405" s="5" t="s">
        <v>799</v>
      </c>
      <c r="B405" s="5" t="s">
        <v>154</v>
      </c>
      <c r="C405" s="5" t="s">
        <v>226</v>
      </c>
      <c r="D405" s="5" t="s">
        <v>800</v>
      </c>
      <c r="E405" s="5" t="s">
        <v>160</v>
      </c>
      <c r="F405" s="16" t="n">
        <v>12319.511</v>
      </c>
      <c r="G405" s="16" t="n">
        <v>12319.511</v>
      </c>
      <c r="H405" s="17" t="n">
        <f aca="false">F405-G405</f>
        <v>0</v>
      </c>
      <c r="I405" s="18" t="n">
        <f aca="false">IF(E405="MUS",H405/F405,"")</f>
        <v>0</v>
      </c>
    </row>
    <row r="406" customFormat="false" ht="15" hidden="false" customHeight="false" outlineLevel="0" collapsed="false">
      <c r="A406" s="5" t="s">
        <v>801</v>
      </c>
      <c r="B406" s="5" t="s">
        <v>154</v>
      </c>
      <c r="C406" s="5" t="s">
        <v>155</v>
      </c>
      <c r="D406" s="5" t="s">
        <v>654</v>
      </c>
      <c r="E406" s="5" t="s">
        <v>160</v>
      </c>
      <c r="F406" s="16" t="n">
        <v>890.808</v>
      </c>
      <c r="G406" s="16" t="n">
        <v>890.808</v>
      </c>
      <c r="H406" s="17" t="n">
        <f aca="false">F406-G406</f>
        <v>0</v>
      </c>
      <c r="I406" s="18" t="n">
        <f aca="false">IF(E406="MUS",H406/F406,"")</f>
        <v>0</v>
      </c>
    </row>
    <row r="407" customFormat="false" ht="15" hidden="false" customHeight="false" outlineLevel="0" collapsed="false">
      <c r="A407" s="5" t="s">
        <v>802</v>
      </c>
      <c r="B407" s="5" t="s">
        <v>154</v>
      </c>
      <c r="C407" s="5" t="s">
        <v>177</v>
      </c>
      <c r="D407" s="5" t="s">
        <v>511</v>
      </c>
      <c r="E407" s="5" t="s">
        <v>160</v>
      </c>
      <c r="F407" s="16" t="n">
        <v>150.6</v>
      </c>
      <c r="G407" s="16" t="n">
        <v>150.6</v>
      </c>
      <c r="H407" s="17" t="n">
        <f aca="false">F407-G407</f>
        <v>0</v>
      </c>
      <c r="I407" s="18" t="n">
        <f aca="false">IF(E407="MUS",H407/F407,"")</f>
        <v>0</v>
      </c>
    </row>
    <row r="408" customFormat="false" ht="15" hidden="false" customHeight="false" outlineLevel="0" collapsed="false">
      <c r="A408" s="5" t="s">
        <v>803</v>
      </c>
      <c r="B408" s="5" t="s">
        <v>154</v>
      </c>
      <c r="C408" s="5" t="s">
        <v>166</v>
      </c>
      <c r="D408" s="5" t="s">
        <v>227</v>
      </c>
      <c r="E408" s="5" t="s">
        <v>160</v>
      </c>
      <c r="F408" s="16" t="n">
        <v>2059</v>
      </c>
      <c r="G408" s="16" t="n">
        <v>2059</v>
      </c>
      <c r="H408" s="17" t="n">
        <f aca="false">F408-G408</f>
        <v>0</v>
      </c>
      <c r="I408" s="18" t="n">
        <f aca="false">IF(E408="MUS",H408/F408,"")</f>
        <v>0</v>
      </c>
    </row>
    <row r="409" customFormat="false" ht="15" hidden="false" customHeight="false" outlineLevel="0" collapsed="false">
      <c r="A409" s="5" t="s">
        <v>804</v>
      </c>
      <c r="B409" s="5" t="s">
        <v>154</v>
      </c>
      <c r="C409" s="5" t="s">
        <v>226</v>
      </c>
      <c r="D409" s="5" t="s">
        <v>767</v>
      </c>
      <c r="E409" s="5" t="s">
        <v>160</v>
      </c>
      <c r="F409" s="16" t="n">
        <v>14743.241</v>
      </c>
      <c r="G409" s="16" t="n">
        <v>14743.241</v>
      </c>
      <c r="H409" s="17" t="n">
        <f aca="false">F409-G409</f>
        <v>0</v>
      </c>
      <c r="I409" s="18" t="n">
        <f aca="false">IF(E409="MUS",H409/F409,"")</f>
        <v>0</v>
      </c>
    </row>
    <row r="410" customFormat="false" ht="15" hidden="false" customHeight="false" outlineLevel="0" collapsed="false">
      <c r="A410" s="5" t="s">
        <v>805</v>
      </c>
      <c r="B410" s="5" t="s">
        <v>154</v>
      </c>
      <c r="C410" s="5" t="s">
        <v>174</v>
      </c>
      <c r="D410" s="5" t="s">
        <v>806</v>
      </c>
      <c r="E410" s="5" t="s">
        <v>160</v>
      </c>
      <c r="F410" s="16" t="n">
        <v>250.189</v>
      </c>
      <c r="G410" s="16" t="n">
        <v>250.189</v>
      </c>
      <c r="H410" s="17" t="n">
        <f aca="false">F410-G410</f>
        <v>0</v>
      </c>
      <c r="I410" s="18" t="n">
        <f aca="false">IF(E410="MUS",H410/F410,"")</f>
        <v>0</v>
      </c>
    </row>
    <row r="411" customFormat="false" ht="15" hidden="false" customHeight="false" outlineLevel="0" collapsed="false">
      <c r="A411" s="5" t="s">
        <v>807</v>
      </c>
      <c r="B411" s="5" t="s">
        <v>154</v>
      </c>
      <c r="C411" s="5" t="s">
        <v>190</v>
      </c>
      <c r="D411" s="5" t="s">
        <v>808</v>
      </c>
      <c r="E411" s="5" t="s">
        <v>160</v>
      </c>
      <c r="F411" s="16" t="n">
        <v>245.491</v>
      </c>
      <c r="G411" s="16" t="n">
        <v>245.491</v>
      </c>
      <c r="H411" s="17" t="n">
        <f aca="false">F411-G411</f>
        <v>0</v>
      </c>
      <c r="I411" s="18" t="n">
        <f aca="false">IF(E411="MUS",H411/F411,"")</f>
        <v>0</v>
      </c>
    </row>
    <row r="412" customFormat="false" ht="15" hidden="false" customHeight="false" outlineLevel="0" collapsed="false">
      <c r="A412" s="5" t="s">
        <v>809</v>
      </c>
      <c r="B412" s="5" t="s">
        <v>154</v>
      </c>
      <c r="C412" s="5" t="s">
        <v>190</v>
      </c>
      <c r="D412" s="5" t="s">
        <v>810</v>
      </c>
      <c r="E412" s="5" t="s">
        <v>160</v>
      </c>
      <c r="F412" s="16" t="n">
        <v>112.555</v>
      </c>
      <c r="G412" s="16" t="n">
        <v>112.555</v>
      </c>
      <c r="H412" s="17" t="n">
        <f aca="false">F412-G412</f>
        <v>0</v>
      </c>
      <c r="I412" s="18" t="n">
        <f aca="false">IF(E412="MUS",H412/F412,"")</f>
        <v>0</v>
      </c>
    </row>
    <row r="413" customFormat="false" ht="15" hidden="false" customHeight="false" outlineLevel="0" collapsed="false">
      <c r="A413" s="5" t="s">
        <v>811</v>
      </c>
      <c r="B413" s="5" t="s">
        <v>154</v>
      </c>
      <c r="C413" s="5" t="s">
        <v>226</v>
      </c>
      <c r="D413" s="5" t="s">
        <v>325</v>
      </c>
      <c r="E413" s="5" t="s">
        <v>160</v>
      </c>
      <c r="F413" s="16" t="n">
        <v>5214.035</v>
      </c>
      <c r="G413" s="16" t="n">
        <v>5214.035</v>
      </c>
      <c r="H413" s="17" t="n">
        <f aca="false">F413-G413</f>
        <v>0</v>
      </c>
      <c r="I413" s="18" t="n">
        <f aca="false">IF(E413="MUS",H413/F413,"")</f>
        <v>0</v>
      </c>
    </row>
    <row r="414" customFormat="false" ht="15" hidden="false" customHeight="false" outlineLevel="0" collapsed="false">
      <c r="A414" s="5" t="s">
        <v>812</v>
      </c>
      <c r="B414" s="5" t="s">
        <v>154</v>
      </c>
      <c r="C414" s="5" t="s">
        <v>174</v>
      </c>
      <c r="D414" s="5" t="s">
        <v>813</v>
      </c>
      <c r="E414" s="5" t="s">
        <v>160</v>
      </c>
      <c r="F414" s="16" t="n">
        <v>545.616</v>
      </c>
      <c r="G414" s="16" t="n">
        <v>545.616</v>
      </c>
      <c r="H414" s="17" t="n">
        <f aca="false">F414-G414</f>
        <v>0</v>
      </c>
      <c r="I414" s="18" t="n">
        <f aca="false">IF(E414="MUS",H414/F414,"")</f>
        <v>0</v>
      </c>
    </row>
    <row r="415" customFormat="false" ht="15" hidden="false" customHeight="false" outlineLevel="0" collapsed="false">
      <c r="A415" s="5" t="s">
        <v>814</v>
      </c>
      <c r="B415" s="5" t="s">
        <v>154</v>
      </c>
      <c r="C415" s="5" t="s">
        <v>155</v>
      </c>
      <c r="D415" s="5" t="s">
        <v>690</v>
      </c>
      <c r="E415" s="5" t="s">
        <v>160</v>
      </c>
      <c r="F415" s="16" t="n">
        <v>7376.298</v>
      </c>
      <c r="G415" s="16" t="n">
        <v>7376.298</v>
      </c>
      <c r="H415" s="17" t="n">
        <f aca="false">F415-G415</f>
        <v>0</v>
      </c>
      <c r="I415" s="18" t="n">
        <f aca="false">IF(E415="MUS",H415/F415,"")</f>
        <v>0</v>
      </c>
    </row>
    <row r="416" customFormat="false" ht="15" hidden="false" customHeight="false" outlineLevel="0" collapsed="false">
      <c r="A416" s="5" t="s">
        <v>815</v>
      </c>
      <c r="B416" s="5" t="s">
        <v>154</v>
      </c>
      <c r="C416" s="5" t="s">
        <v>155</v>
      </c>
      <c r="D416" s="5" t="s">
        <v>816</v>
      </c>
      <c r="E416" s="5" t="s">
        <v>160</v>
      </c>
      <c r="F416" s="16" t="n">
        <v>22013.231</v>
      </c>
      <c r="G416" s="16" t="n">
        <v>22013.231</v>
      </c>
      <c r="H416" s="17" t="n">
        <f aca="false">F416-G416</f>
        <v>0</v>
      </c>
      <c r="I416" s="18" t="n">
        <f aca="false">IF(E416="MUS",H416/F416,"")</f>
        <v>0</v>
      </c>
    </row>
    <row r="417" customFormat="false" ht="15" hidden="false" customHeight="false" outlineLevel="0" collapsed="false">
      <c r="A417" s="5" t="s">
        <v>817</v>
      </c>
      <c r="B417" s="5" t="s">
        <v>154</v>
      </c>
      <c r="C417" s="5" t="s">
        <v>171</v>
      </c>
      <c r="D417" s="5" t="s">
        <v>818</v>
      </c>
      <c r="E417" s="5" t="s">
        <v>160</v>
      </c>
      <c r="F417" s="16" t="n">
        <v>22590.307</v>
      </c>
      <c r="G417" s="16" t="n">
        <v>22590.307</v>
      </c>
      <c r="H417" s="17" t="n">
        <f aca="false">F417-G417</f>
        <v>0</v>
      </c>
      <c r="I417" s="18" t="n">
        <f aca="false">IF(E417="MUS",H417/F417,"")</f>
        <v>0</v>
      </c>
    </row>
    <row r="418" customFormat="false" ht="15" hidden="false" customHeight="false" outlineLevel="0" collapsed="false">
      <c r="A418" s="5" t="s">
        <v>819</v>
      </c>
      <c r="B418" s="5" t="s">
        <v>154</v>
      </c>
      <c r="C418" s="5" t="s">
        <v>166</v>
      </c>
      <c r="D418" s="5" t="s">
        <v>820</v>
      </c>
      <c r="E418" s="5" t="s">
        <v>160</v>
      </c>
      <c r="F418" s="16" t="n">
        <v>2178.8</v>
      </c>
      <c r="G418" s="16" t="n">
        <v>2178.8</v>
      </c>
      <c r="H418" s="17" t="n">
        <f aca="false">F418-G418</f>
        <v>0</v>
      </c>
      <c r="I418" s="18" t="n">
        <f aca="false">IF(E418="MUS",H418/F418,"")</f>
        <v>0</v>
      </c>
    </row>
    <row r="419" customFormat="false" ht="15" hidden="false" customHeight="false" outlineLevel="0" collapsed="false">
      <c r="A419" s="5" t="s">
        <v>821</v>
      </c>
      <c r="B419" s="5" t="s">
        <v>154</v>
      </c>
      <c r="C419" s="5" t="s">
        <v>190</v>
      </c>
      <c r="D419" s="5" t="s">
        <v>397</v>
      </c>
      <c r="E419" s="5" t="s">
        <v>160</v>
      </c>
      <c r="F419" s="16" t="n">
        <v>71.494</v>
      </c>
      <c r="G419" s="16" t="n">
        <v>71.494</v>
      </c>
      <c r="H419" s="17" t="n">
        <f aca="false">F419-G419</f>
        <v>0</v>
      </c>
      <c r="I419" s="18" t="n">
        <f aca="false">IF(E419="MUS",H419/F419,"")</f>
        <v>0</v>
      </c>
    </row>
    <row r="420" customFormat="false" ht="15" hidden="false" customHeight="false" outlineLevel="0" collapsed="false">
      <c r="A420" s="5" t="s">
        <v>822</v>
      </c>
      <c r="B420" s="5" t="s">
        <v>154</v>
      </c>
      <c r="C420" s="5" t="s">
        <v>171</v>
      </c>
      <c r="D420" s="5" t="s">
        <v>823</v>
      </c>
      <c r="E420" s="5" t="s">
        <v>160</v>
      </c>
      <c r="F420" s="16" t="n">
        <v>4717.958</v>
      </c>
      <c r="G420" s="16" t="n">
        <v>4717.958</v>
      </c>
      <c r="H420" s="17" t="n">
        <f aca="false">F420-G420</f>
        <v>0</v>
      </c>
      <c r="I420" s="18" t="n">
        <f aca="false">IF(E420="MUS",H420/F420,"")</f>
        <v>0</v>
      </c>
    </row>
    <row r="421" customFormat="false" ht="15" hidden="false" customHeight="false" outlineLevel="0" collapsed="false">
      <c r="A421" s="5" t="s">
        <v>824</v>
      </c>
      <c r="B421" s="5" t="s">
        <v>154</v>
      </c>
      <c r="C421" s="5" t="s">
        <v>155</v>
      </c>
      <c r="D421" s="5" t="s">
        <v>806</v>
      </c>
      <c r="E421" s="5" t="s">
        <v>160</v>
      </c>
      <c r="F421" s="16" t="n">
        <v>12885.67</v>
      </c>
      <c r="G421" s="16" t="n">
        <v>12885.67</v>
      </c>
      <c r="H421" s="17" t="n">
        <f aca="false">F421-G421</f>
        <v>0</v>
      </c>
      <c r="I421" s="18" t="n">
        <f aca="false">IF(E421="MUS",H421/F421,"")</f>
        <v>0</v>
      </c>
    </row>
    <row r="422" customFormat="false" ht="15" hidden="false" customHeight="false" outlineLevel="0" collapsed="false">
      <c r="A422" s="5" t="s">
        <v>825</v>
      </c>
      <c r="B422" s="5" t="s">
        <v>154</v>
      </c>
      <c r="C422" s="5" t="s">
        <v>171</v>
      </c>
      <c r="D422" s="5" t="s">
        <v>826</v>
      </c>
      <c r="E422" s="5" t="s">
        <v>160</v>
      </c>
      <c r="F422" s="16" t="n">
        <v>186.661</v>
      </c>
      <c r="G422" s="16" t="n">
        <v>186.661</v>
      </c>
      <c r="H422" s="17" t="n">
        <f aca="false">F422-G422</f>
        <v>0</v>
      </c>
      <c r="I422" s="18" t="n">
        <f aca="false">IF(E422="MUS",H422/F422,"")</f>
        <v>0</v>
      </c>
    </row>
    <row r="423" customFormat="false" ht="15" hidden="false" customHeight="false" outlineLevel="0" collapsed="false">
      <c r="A423" s="5" t="s">
        <v>827</v>
      </c>
      <c r="B423" s="5" t="s">
        <v>154</v>
      </c>
      <c r="C423" s="5" t="s">
        <v>171</v>
      </c>
      <c r="D423" s="5" t="s">
        <v>624</v>
      </c>
      <c r="E423" s="5" t="s">
        <v>160</v>
      </c>
      <c r="F423" s="16" t="n">
        <v>503.743</v>
      </c>
      <c r="G423" s="16" t="n">
        <v>503.743</v>
      </c>
      <c r="H423" s="17" t="n">
        <f aca="false">F423-G423</f>
        <v>0</v>
      </c>
      <c r="I423" s="18" t="n">
        <f aca="false">IF(E423="MUS",H423/F423,"")</f>
        <v>0</v>
      </c>
    </row>
    <row r="424" customFormat="false" ht="15" hidden="false" customHeight="false" outlineLevel="0" collapsed="false">
      <c r="A424" s="5" t="s">
        <v>828</v>
      </c>
      <c r="B424" s="5" t="s">
        <v>154</v>
      </c>
      <c r="C424" s="5" t="s">
        <v>226</v>
      </c>
      <c r="D424" s="5" t="s">
        <v>789</v>
      </c>
      <c r="E424" s="5" t="s">
        <v>160</v>
      </c>
      <c r="F424" s="16" t="n">
        <v>8252.894</v>
      </c>
      <c r="G424" s="16" t="n">
        <v>8252.894</v>
      </c>
      <c r="H424" s="17" t="n">
        <f aca="false">F424-G424</f>
        <v>0</v>
      </c>
      <c r="I424" s="18" t="n">
        <f aca="false">IF(E424="MUS",H424/F424,"")</f>
        <v>0</v>
      </c>
    </row>
    <row r="425" customFormat="false" ht="15" hidden="false" customHeight="false" outlineLevel="0" collapsed="false">
      <c r="A425" s="5" t="s">
        <v>829</v>
      </c>
      <c r="B425" s="5" t="s">
        <v>211</v>
      </c>
      <c r="C425" s="5" t="s">
        <v>212</v>
      </c>
      <c r="D425" s="5" t="s">
        <v>213</v>
      </c>
      <c r="E425" s="5" t="s">
        <v>160</v>
      </c>
      <c r="F425" s="16" t="n">
        <v>476.81</v>
      </c>
      <c r="G425" s="16" t="n">
        <v>476.81</v>
      </c>
      <c r="H425" s="17" t="n">
        <f aca="false">F425-G425</f>
        <v>0</v>
      </c>
      <c r="I425" s="18" t="n">
        <f aca="false">IF(E425="MUS",H425/F425,"")</f>
        <v>0</v>
      </c>
    </row>
    <row r="426" customFormat="false" ht="15" hidden="false" customHeight="false" outlineLevel="0" collapsed="false">
      <c r="A426" s="5" t="s">
        <v>830</v>
      </c>
      <c r="B426" s="5" t="s">
        <v>154</v>
      </c>
      <c r="C426" s="5" t="s">
        <v>226</v>
      </c>
      <c r="D426" s="5" t="s">
        <v>224</v>
      </c>
      <c r="E426" s="5" t="s">
        <v>160</v>
      </c>
      <c r="F426" s="16" t="n">
        <v>63664.863</v>
      </c>
      <c r="G426" s="16" t="n">
        <v>63664.863</v>
      </c>
      <c r="H426" s="17" t="n">
        <f aca="false">F426-G426</f>
        <v>0</v>
      </c>
      <c r="I426" s="18" t="n">
        <f aca="false">IF(E426="MUS",H426/F426,"")</f>
        <v>0</v>
      </c>
    </row>
    <row r="427" customFormat="false" ht="15" hidden="false" customHeight="false" outlineLevel="0" collapsed="false">
      <c r="A427" s="5" t="s">
        <v>831</v>
      </c>
      <c r="B427" s="5" t="s">
        <v>154</v>
      </c>
      <c r="C427" s="5" t="s">
        <v>171</v>
      </c>
      <c r="D427" s="5" t="s">
        <v>832</v>
      </c>
      <c r="E427" s="5" t="s">
        <v>160</v>
      </c>
      <c r="F427" s="16" t="n">
        <v>2465.152</v>
      </c>
      <c r="G427" s="16" t="n">
        <v>2465.152</v>
      </c>
      <c r="H427" s="17" t="n">
        <f aca="false">F427-G427</f>
        <v>0</v>
      </c>
      <c r="I427" s="18" t="n">
        <f aca="false">IF(E427="MUS",H427/F427,"")</f>
        <v>0</v>
      </c>
    </row>
    <row r="428" customFormat="false" ht="15" hidden="false" customHeight="false" outlineLevel="0" collapsed="false">
      <c r="A428" s="5" t="s">
        <v>833</v>
      </c>
      <c r="B428" s="5" t="s">
        <v>154</v>
      </c>
      <c r="C428" s="5" t="s">
        <v>155</v>
      </c>
      <c r="D428" s="5" t="s">
        <v>293</v>
      </c>
      <c r="E428" s="5" t="s">
        <v>160</v>
      </c>
      <c r="F428" s="16" t="n">
        <v>61998.864</v>
      </c>
      <c r="G428" s="16" t="n">
        <v>61998.864</v>
      </c>
      <c r="H428" s="17" t="n">
        <f aca="false">F428-G428</f>
        <v>0</v>
      </c>
      <c r="I428" s="18" t="n">
        <f aca="false">IF(E428="MUS",H428/F428,"")</f>
        <v>0</v>
      </c>
    </row>
    <row r="429" customFormat="false" ht="15" hidden="false" customHeight="false" outlineLevel="0" collapsed="false">
      <c r="A429" s="5" t="s">
        <v>834</v>
      </c>
      <c r="B429" s="5" t="s">
        <v>154</v>
      </c>
      <c r="C429" s="5" t="s">
        <v>155</v>
      </c>
      <c r="D429" s="5" t="s">
        <v>596</v>
      </c>
      <c r="E429" s="5" t="s">
        <v>160</v>
      </c>
      <c r="F429" s="16" t="n">
        <v>7455.594</v>
      </c>
      <c r="G429" s="16" t="n">
        <v>7455.594</v>
      </c>
      <c r="H429" s="17" t="n">
        <f aca="false">F429-G429</f>
        <v>0</v>
      </c>
      <c r="I429" s="18" t="n">
        <f aca="false">IF(E429="MUS",H429/F429,"")</f>
        <v>0</v>
      </c>
    </row>
    <row r="430" customFormat="false" ht="15" hidden="false" customHeight="false" outlineLevel="0" collapsed="false">
      <c r="A430" s="5" t="s">
        <v>835</v>
      </c>
      <c r="B430" s="5" t="s">
        <v>154</v>
      </c>
      <c r="C430" s="5" t="s">
        <v>166</v>
      </c>
      <c r="D430" s="5" t="s">
        <v>327</v>
      </c>
      <c r="E430" s="5" t="s">
        <v>160</v>
      </c>
      <c r="F430" s="16" t="n">
        <v>830.109</v>
      </c>
      <c r="G430" s="16" t="n">
        <v>830.109</v>
      </c>
      <c r="H430" s="17" t="n">
        <f aca="false">F430-G430</f>
        <v>0</v>
      </c>
      <c r="I430" s="18" t="n">
        <f aca="false">IF(E430="MUS",H430/F430,"")</f>
        <v>0</v>
      </c>
    </row>
    <row r="431" customFormat="false" ht="15" hidden="false" customHeight="false" outlineLevel="0" collapsed="false">
      <c r="A431" s="5" t="s">
        <v>836</v>
      </c>
      <c r="B431" s="5" t="s">
        <v>154</v>
      </c>
      <c r="C431" s="5" t="s">
        <v>155</v>
      </c>
      <c r="D431" s="5" t="s">
        <v>730</v>
      </c>
      <c r="E431" s="5" t="s">
        <v>160</v>
      </c>
      <c r="F431" s="16" t="n">
        <v>13737.178</v>
      </c>
      <c r="G431" s="16" t="n">
        <v>13737.178</v>
      </c>
      <c r="H431" s="17" t="n">
        <f aca="false">F431-G431</f>
        <v>0</v>
      </c>
      <c r="I431" s="18" t="n">
        <f aca="false">IF(E431="MUS",H431/F431,"")</f>
        <v>0</v>
      </c>
    </row>
    <row r="432" customFormat="false" ht="15" hidden="false" customHeight="false" outlineLevel="0" collapsed="false">
      <c r="A432" s="5" t="s">
        <v>837</v>
      </c>
      <c r="B432" s="5" t="s">
        <v>154</v>
      </c>
      <c r="C432" s="5" t="s">
        <v>174</v>
      </c>
      <c r="D432" s="5" t="s">
        <v>271</v>
      </c>
      <c r="E432" s="5" t="s">
        <v>160</v>
      </c>
      <c r="F432" s="16" t="n">
        <v>158.682</v>
      </c>
      <c r="G432" s="16" t="n">
        <v>158.682</v>
      </c>
      <c r="H432" s="17" t="n">
        <f aca="false">F432-G432</f>
        <v>0</v>
      </c>
      <c r="I432" s="18" t="n">
        <f aca="false">IF(E432="MUS",H432/F432,"")</f>
        <v>0</v>
      </c>
    </row>
    <row r="433" customFormat="false" ht="15" hidden="false" customHeight="false" outlineLevel="0" collapsed="false">
      <c r="A433" s="5" t="s">
        <v>838</v>
      </c>
      <c r="B433" s="5" t="s">
        <v>154</v>
      </c>
      <c r="C433" s="5" t="s">
        <v>190</v>
      </c>
      <c r="D433" s="5" t="s">
        <v>763</v>
      </c>
      <c r="E433" s="5" t="s">
        <v>160</v>
      </c>
      <c r="F433" s="16" t="n">
        <v>194.808</v>
      </c>
      <c r="G433" s="16" t="n">
        <v>194.808</v>
      </c>
      <c r="H433" s="17" t="n">
        <f aca="false">F433-G433</f>
        <v>0</v>
      </c>
      <c r="I433" s="18" t="n">
        <f aca="false">IF(E433="MUS",H433/F433,"")</f>
        <v>0</v>
      </c>
    </row>
    <row r="434" customFormat="false" ht="15" hidden="false" customHeight="false" outlineLevel="0" collapsed="false">
      <c r="A434" s="5" t="s">
        <v>839</v>
      </c>
      <c r="B434" s="5" t="s">
        <v>154</v>
      </c>
      <c r="C434" s="5" t="s">
        <v>174</v>
      </c>
      <c r="D434" s="5" t="s">
        <v>840</v>
      </c>
      <c r="E434" s="5" t="s">
        <v>160</v>
      </c>
      <c r="F434" s="16" t="n">
        <v>651.721</v>
      </c>
      <c r="G434" s="16" t="n">
        <v>651.721</v>
      </c>
      <c r="H434" s="17" t="n">
        <f aca="false">F434-G434</f>
        <v>0</v>
      </c>
      <c r="I434" s="18" t="n">
        <f aca="false">IF(E434="MUS",H434/F434,"")</f>
        <v>0</v>
      </c>
    </row>
    <row r="435" customFormat="false" ht="15" hidden="false" customHeight="false" outlineLevel="0" collapsed="false">
      <c r="A435" s="5" t="s">
        <v>841</v>
      </c>
      <c r="B435" s="5" t="s">
        <v>211</v>
      </c>
      <c r="C435" s="5" t="s">
        <v>212</v>
      </c>
      <c r="D435" s="5" t="s">
        <v>213</v>
      </c>
      <c r="E435" s="5" t="s">
        <v>160</v>
      </c>
      <c r="F435" s="16" t="n">
        <v>769.073</v>
      </c>
      <c r="G435" s="16" t="n">
        <v>769.073</v>
      </c>
      <c r="H435" s="17" t="n">
        <f aca="false">F435-G435</f>
        <v>0</v>
      </c>
      <c r="I435" s="18" t="n">
        <f aca="false">IF(E435="MUS",H435/F435,"")</f>
        <v>0</v>
      </c>
    </row>
    <row r="436" customFormat="false" ht="15" hidden="false" customHeight="false" outlineLevel="0" collapsed="false">
      <c r="A436" s="5" t="s">
        <v>842</v>
      </c>
      <c r="B436" s="5" t="s">
        <v>154</v>
      </c>
      <c r="C436" s="5" t="s">
        <v>174</v>
      </c>
      <c r="D436" s="5" t="s">
        <v>843</v>
      </c>
      <c r="E436" s="5" t="s">
        <v>160</v>
      </c>
      <c r="F436" s="16" t="n">
        <v>163.104</v>
      </c>
      <c r="G436" s="16" t="n">
        <v>163.104</v>
      </c>
      <c r="H436" s="17" t="n">
        <f aca="false">F436-G436</f>
        <v>0</v>
      </c>
      <c r="I436" s="18" t="n">
        <f aca="false">IF(E436="MUS",H436/F436,"")</f>
        <v>0</v>
      </c>
    </row>
    <row r="437" customFormat="false" ht="15" hidden="false" customHeight="false" outlineLevel="0" collapsed="false">
      <c r="A437" s="5" t="s">
        <v>844</v>
      </c>
      <c r="B437" s="5" t="s">
        <v>154</v>
      </c>
      <c r="C437" s="5" t="s">
        <v>226</v>
      </c>
      <c r="D437" s="5" t="s">
        <v>575</v>
      </c>
      <c r="E437" s="5" t="s">
        <v>160</v>
      </c>
      <c r="F437" s="16" t="n">
        <v>10821.524</v>
      </c>
      <c r="G437" s="16" t="n">
        <v>10821.524</v>
      </c>
      <c r="H437" s="17" t="n">
        <f aca="false">F437-G437</f>
        <v>0</v>
      </c>
      <c r="I437" s="18" t="n">
        <f aca="false">IF(E437="MUS",H437/F437,"")</f>
        <v>0</v>
      </c>
    </row>
    <row r="438" customFormat="false" ht="15" hidden="false" customHeight="false" outlineLevel="0" collapsed="false">
      <c r="A438" s="5" t="s">
        <v>845</v>
      </c>
      <c r="B438" s="5" t="s">
        <v>154</v>
      </c>
      <c r="C438" s="5" t="s">
        <v>166</v>
      </c>
      <c r="D438" s="5" t="s">
        <v>252</v>
      </c>
      <c r="E438" s="5" t="s">
        <v>160</v>
      </c>
      <c r="F438" s="16" t="n">
        <v>4847.257</v>
      </c>
      <c r="G438" s="16" t="n">
        <v>4847.257</v>
      </c>
      <c r="H438" s="17" t="n">
        <f aca="false">F438-G438</f>
        <v>0</v>
      </c>
      <c r="I438" s="18" t="n">
        <f aca="false">IF(E438="MUS",H438/F438,"")</f>
        <v>0</v>
      </c>
    </row>
    <row r="439" customFormat="false" ht="15" hidden="false" customHeight="false" outlineLevel="0" collapsed="false">
      <c r="A439" s="5" t="s">
        <v>846</v>
      </c>
      <c r="B439" s="5" t="s">
        <v>154</v>
      </c>
      <c r="C439" s="5" t="s">
        <v>166</v>
      </c>
      <c r="D439" s="5" t="s">
        <v>847</v>
      </c>
      <c r="E439" s="5" t="s">
        <v>160</v>
      </c>
      <c r="F439" s="16" t="n">
        <v>3138.05</v>
      </c>
      <c r="G439" s="16" t="n">
        <v>3138.05</v>
      </c>
      <c r="H439" s="17" t="n">
        <f aca="false">F439-G439</f>
        <v>0</v>
      </c>
      <c r="I439" s="18" t="n">
        <f aca="false">IF(E439="MUS",H439/F439,"")</f>
        <v>0</v>
      </c>
    </row>
    <row r="440" customFormat="false" ht="15" hidden="false" customHeight="false" outlineLevel="0" collapsed="false">
      <c r="A440" s="5" t="s">
        <v>848</v>
      </c>
      <c r="B440" s="5" t="s">
        <v>154</v>
      </c>
      <c r="C440" s="5" t="s">
        <v>171</v>
      </c>
      <c r="D440" s="5" t="s">
        <v>813</v>
      </c>
      <c r="E440" s="5" t="s">
        <v>160</v>
      </c>
      <c r="F440" s="16" t="n">
        <v>3635.495</v>
      </c>
      <c r="G440" s="16" t="n">
        <v>3635.495</v>
      </c>
      <c r="H440" s="17" t="n">
        <f aca="false">F440-G440</f>
        <v>0</v>
      </c>
      <c r="I440" s="18" t="n">
        <f aca="false">IF(E440="MUS",H440/F440,"")</f>
        <v>0</v>
      </c>
    </row>
    <row r="441" customFormat="false" ht="15" hidden="false" customHeight="false" outlineLevel="0" collapsed="false">
      <c r="A441" s="5" t="s">
        <v>849</v>
      </c>
      <c r="B441" s="5" t="s">
        <v>154</v>
      </c>
      <c r="C441" s="5" t="s">
        <v>171</v>
      </c>
      <c r="D441" s="5" t="s">
        <v>850</v>
      </c>
      <c r="E441" s="5" t="s">
        <v>160</v>
      </c>
      <c r="F441" s="16" t="n">
        <v>1951.98</v>
      </c>
      <c r="G441" s="16" t="n">
        <v>1951.98</v>
      </c>
      <c r="H441" s="17" t="n">
        <f aca="false">F441-G441</f>
        <v>0</v>
      </c>
      <c r="I441" s="18" t="n">
        <f aca="false">IF(E441="MUS",H441/F441,"")</f>
        <v>0</v>
      </c>
    </row>
    <row r="442" customFormat="false" ht="15" hidden="false" customHeight="false" outlineLevel="0" collapsed="false">
      <c r="A442" s="5" t="s">
        <v>851</v>
      </c>
      <c r="B442" s="5" t="s">
        <v>154</v>
      </c>
      <c r="C442" s="5" t="s">
        <v>155</v>
      </c>
      <c r="D442" s="5" t="s">
        <v>445</v>
      </c>
      <c r="E442" s="5" t="s">
        <v>160</v>
      </c>
      <c r="F442" s="16" t="n">
        <v>36701.753</v>
      </c>
      <c r="G442" s="16" t="n">
        <v>36701.753</v>
      </c>
      <c r="H442" s="17" t="n">
        <f aca="false">F442-G442</f>
        <v>0</v>
      </c>
      <c r="I442" s="18" t="n">
        <f aca="false">IF(E442="MUS",H442/F442,"")</f>
        <v>0</v>
      </c>
    </row>
    <row r="443" customFormat="false" ht="15" hidden="false" customHeight="false" outlineLevel="0" collapsed="false">
      <c r="A443" s="5" t="s">
        <v>852</v>
      </c>
      <c r="B443" s="5" t="s">
        <v>154</v>
      </c>
      <c r="C443" s="5" t="s">
        <v>174</v>
      </c>
      <c r="D443" s="5" t="s">
        <v>303</v>
      </c>
      <c r="E443" s="5" t="s">
        <v>160</v>
      </c>
      <c r="F443" s="16" t="n">
        <v>211.354</v>
      </c>
      <c r="G443" s="16" t="n">
        <v>211.354</v>
      </c>
      <c r="H443" s="17" t="n">
        <f aca="false">F443-G443</f>
        <v>0</v>
      </c>
      <c r="I443" s="18" t="n">
        <f aca="false">IF(E443="MUS",H443/F443,"")</f>
        <v>0</v>
      </c>
    </row>
    <row r="445" customFormat="false" ht="15" hidden="false" customHeight="false" outlineLevel="0" collapsed="false">
      <c r="A445" s="9" t="s">
        <v>853</v>
      </c>
      <c r="H445" s="19" t="n">
        <f aca="false">SUM(H5:H443)</f>
        <v>81.573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854</v>
      </c>
    </row>
    <row r="2" customFormat="false" ht="15" hidden="false" customHeight="false" outlineLevel="0" collapsed="false">
      <c r="A2" s="2" t="s">
        <v>855</v>
      </c>
    </row>
    <row r="4" customFormat="false" ht="15" hidden="false" customHeight="false" outlineLevel="0" collapsed="false">
      <c r="A4" s="4" t="s">
        <v>145</v>
      </c>
      <c r="B4" s="4" t="s">
        <v>856</v>
      </c>
      <c r="C4" s="4" t="s">
        <v>857</v>
      </c>
      <c r="D4" s="4" t="s">
        <v>858</v>
      </c>
      <c r="E4" s="4" t="s">
        <v>859</v>
      </c>
      <c r="F4" s="4" t="s">
        <v>860</v>
      </c>
      <c r="G4" s="4" t="s">
        <v>861</v>
      </c>
      <c r="H4" s="4" t="s">
        <v>862</v>
      </c>
    </row>
    <row r="5" customFormat="false" ht="15" hidden="false" customHeight="false" outlineLevel="0" collapsed="false">
      <c r="A5" s="5" t="s">
        <v>154</v>
      </c>
      <c r="B5" s="16" t="n">
        <v>69281545</v>
      </c>
      <c r="C5" s="16" t="n">
        <v>69281545</v>
      </c>
      <c r="D5" s="16" t="n">
        <v>23335074</v>
      </c>
      <c r="E5" s="16" t="n">
        <v>23335074</v>
      </c>
      <c r="F5" s="16" t="n">
        <v>45946471</v>
      </c>
      <c r="G5" s="16" t="n">
        <v>45946471</v>
      </c>
      <c r="H5" s="19" t="n">
        <f aca="false">F5-G5</f>
        <v>0</v>
      </c>
    </row>
    <row r="6" customFormat="false" ht="15" hidden="false" customHeight="false" outlineLevel="0" collapsed="false">
      <c r="A6" s="5" t="s">
        <v>211</v>
      </c>
      <c r="B6" s="16" t="n">
        <v>4437857</v>
      </c>
      <c r="C6" s="16" t="n">
        <v>4437857</v>
      </c>
      <c r="D6" s="16" t="n">
        <v>707736</v>
      </c>
      <c r="E6" s="16" t="n">
        <v>707736</v>
      </c>
      <c r="F6" s="16" t="n">
        <v>3730121</v>
      </c>
      <c r="G6" s="16" t="n">
        <v>3730121</v>
      </c>
      <c r="H6" s="19" t="n">
        <f aca="false">F6-G6</f>
        <v>0</v>
      </c>
    </row>
    <row r="7" customFormat="false" ht="15" hidden="false" customHeight="false" outlineLevel="0" collapsed="false">
      <c r="A7" s="5" t="s">
        <v>432</v>
      </c>
      <c r="B7" s="16" t="n">
        <v>1696773</v>
      </c>
      <c r="C7" s="16" t="n">
        <v>1696773</v>
      </c>
      <c r="D7" s="16" t="n">
        <v>1145671</v>
      </c>
      <c r="E7" s="16" t="n">
        <v>1145671</v>
      </c>
      <c r="F7" s="16" t="n">
        <v>551102</v>
      </c>
      <c r="G7" s="16" t="n">
        <v>551102</v>
      </c>
      <c r="H7" s="19" t="n">
        <f aca="false">F7-G7</f>
        <v>0</v>
      </c>
    </row>
    <row r="8" customFormat="false" ht="15" hidden="false" customHeight="false" outlineLevel="0" collapsed="false">
      <c r="A8" s="5" t="s">
        <v>863</v>
      </c>
      <c r="B8" s="16" t="n">
        <v>240646</v>
      </c>
      <c r="C8" s="16" t="n">
        <v>240646</v>
      </c>
      <c r="D8" s="16" t="n">
        <v>188681</v>
      </c>
      <c r="E8" s="16" t="n">
        <v>188681</v>
      </c>
      <c r="F8" s="16" t="n">
        <v>51965</v>
      </c>
      <c r="G8" s="16" t="n">
        <v>51965</v>
      </c>
      <c r="H8" s="19" t="n">
        <f aca="false">F8-G8</f>
        <v>0</v>
      </c>
    </row>
    <row r="9" customFormat="false" ht="15" hidden="false" customHeight="false" outlineLevel="0" collapsed="false">
      <c r="A9" s="5" t="s">
        <v>864</v>
      </c>
      <c r="B9" s="16" t="n">
        <v>135470</v>
      </c>
      <c r="C9" s="16" t="n">
        <v>135470</v>
      </c>
      <c r="D9" s="16" t="n">
        <v>60381</v>
      </c>
      <c r="E9" s="16" t="n">
        <v>60381</v>
      </c>
      <c r="F9" s="16" t="n">
        <v>75089</v>
      </c>
      <c r="G9" s="16" t="n">
        <v>75089</v>
      </c>
      <c r="H9" s="19" t="n">
        <f aca="false">F9-G9</f>
        <v>0</v>
      </c>
    </row>
    <row r="10" customFormat="false" ht="15" hidden="false" customHeight="false" outlineLevel="0" collapsed="false">
      <c r="A10" s="5" t="s">
        <v>865</v>
      </c>
      <c r="B10" s="16" t="n">
        <v>148000</v>
      </c>
      <c r="C10" s="16" t="n">
        <v>148000</v>
      </c>
      <c r="D10" s="16" t="n">
        <v>10275</v>
      </c>
      <c r="E10" s="16" t="n">
        <v>10275</v>
      </c>
      <c r="F10" s="16" t="n">
        <v>137725</v>
      </c>
      <c r="G10" s="16" t="n">
        <v>137725</v>
      </c>
      <c r="H10" s="19" t="n">
        <f aca="false">F10-G10</f>
        <v>0</v>
      </c>
    </row>
    <row r="11" customFormat="false" ht="15" hidden="false" customHeight="false" outlineLevel="0" collapsed="false">
      <c r="A11" s="5" t="s">
        <v>866</v>
      </c>
      <c r="B11" s="10" t="n">
        <f aca="false">SUM(B5:B10)</f>
        <v>75940291</v>
      </c>
      <c r="C11" s="10" t="n">
        <f aca="false">SUM(C5:C10)</f>
        <v>75940291</v>
      </c>
      <c r="D11" s="10" t="n">
        <f aca="false">SUM(D5:D10)</f>
        <v>25447818</v>
      </c>
      <c r="E11" s="10" t="n">
        <f aca="false">SUM(E5:E10)</f>
        <v>25447818</v>
      </c>
      <c r="F11" s="10" t="n">
        <f aca="false">SUM(F5:F10)</f>
        <v>50492473</v>
      </c>
      <c r="G11" s="10" t="n">
        <f aca="false">SUM(G5:G10)</f>
        <v>50492473</v>
      </c>
      <c r="H11" s="19" t="n">
        <f aca="false">F11-G11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1" t="s">
        <v>867</v>
      </c>
    </row>
    <row r="2" customFormat="false" ht="15" hidden="false" customHeight="false" outlineLevel="0" collapsed="false">
      <c r="A2" s="2" t="s">
        <v>868</v>
      </c>
    </row>
    <row r="4" customFormat="false" ht="23.85" hidden="false" customHeight="false" outlineLevel="0" collapsed="false">
      <c r="A4" s="4" t="s">
        <v>869</v>
      </c>
      <c r="B4" s="4" t="s">
        <v>870</v>
      </c>
      <c r="C4" s="4" t="s">
        <v>871</v>
      </c>
      <c r="D4" s="4" t="s">
        <v>872</v>
      </c>
      <c r="E4" s="4" t="s">
        <v>873</v>
      </c>
      <c r="F4" s="4" t="s">
        <v>874</v>
      </c>
      <c r="G4" s="4" t="s">
        <v>875</v>
      </c>
      <c r="H4" s="4" t="s">
        <v>876</v>
      </c>
      <c r="I4" s="4" t="s">
        <v>877</v>
      </c>
      <c r="J4" s="4" t="s">
        <v>878</v>
      </c>
      <c r="K4" s="4" t="s">
        <v>879</v>
      </c>
    </row>
    <row r="5" customFormat="false" ht="15" hidden="false" customHeight="false" outlineLevel="0" collapsed="false">
      <c r="A5" s="5" t="s">
        <v>880</v>
      </c>
      <c r="B5" s="5" t="s">
        <v>881</v>
      </c>
      <c r="C5" s="6" t="n">
        <v>45</v>
      </c>
      <c r="D5" s="6" t="n">
        <v>45</v>
      </c>
      <c r="E5" s="6" t="n">
        <v>45</v>
      </c>
      <c r="F5" s="8" t="n">
        <f aca="false">D5-E5</f>
        <v>0</v>
      </c>
      <c r="G5" s="8" t="n">
        <f aca="false">C5-E5</f>
        <v>0</v>
      </c>
      <c r="H5" s="11" t="n">
        <f aca="false">E5/D5</f>
        <v>1</v>
      </c>
      <c r="I5" s="11" t="n">
        <f aca="false">E5/C5</f>
        <v>1</v>
      </c>
      <c r="J5" s="12" t="n">
        <v>61000</v>
      </c>
      <c r="K5" s="12" t="n">
        <v>61000</v>
      </c>
    </row>
    <row r="6" customFormat="false" ht="15" hidden="false" customHeight="false" outlineLevel="0" collapsed="false">
      <c r="A6" s="5" t="s">
        <v>882</v>
      </c>
      <c r="B6" s="5" t="s">
        <v>883</v>
      </c>
      <c r="C6" s="6" t="n">
        <v>160</v>
      </c>
      <c r="D6" s="6" t="n">
        <v>160</v>
      </c>
      <c r="E6" s="6" t="n">
        <v>160</v>
      </c>
      <c r="F6" s="8" t="n">
        <f aca="false">D6-E6</f>
        <v>0</v>
      </c>
      <c r="G6" s="8" t="n">
        <f aca="false">C6-E6</f>
        <v>0</v>
      </c>
      <c r="H6" s="11" t="n">
        <f aca="false">E6/D6</f>
        <v>1</v>
      </c>
      <c r="I6" s="11" t="n">
        <f aca="false">E6/C6</f>
        <v>1</v>
      </c>
      <c r="J6" s="12" t="n">
        <v>38000</v>
      </c>
      <c r="K6" s="12" t="n">
        <v>38000</v>
      </c>
    </row>
    <row r="7" customFormat="false" ht="15" hidden="false" customHeight="false" outlineLevel="0" collapsed="false">
      <c r="A7" s="5" t="s">
        <v>884</v>
      </c>
      <c r="B7" s="5" t="s">
        <v>885</v>
      </c>
      <c r="C7" s="6" t="n">
        <v>1400</v>
      </c>
      <c r="D7" s="6" t="n">
        <v>1400</v>
      </c>
      <c r="E7" s="6" t="n">
        <v>1400</v>
      </c>
      <c r="F7" s="8" t="n">
        <f aca="false">D7-E7</f>
        <v>0</v>
      </c>
      <c r="G7" s="8" t="n">
        <f aca="false">C7-E7</f>
        <v>0</v>
      </c>
      <c r="H7" s="11" t="n">
        <f aca="false">E7/D7</f>
        <v>1</v>
      </c>
      <c r="I7" s="11" t="n">
        <f aca="false">E7/C7</f>
        <v>1</v>
      </c>
      <c r="J7" s="12" t="n">
        <v>24088.1</v>
      </c>
      <c r="K7" s="12" t="n">
        <v>24088.1</v>
      </c>
    </row>
    <row r="8" customFormat="false" ht="15" hidden="false" customHeight="false" outlineLevel="0" collapsed="false">
      <c r="A8" s="5" t="s">
        <v>886</v>
      </c>
      <c r="B8" s="5" t="s">
        <v>887</v>
      </c>
      <c r="C8" s="6" t="n">
        <v>126</v>
      </c>
      <c r="D8" s="6" t="n">
        <v>126</v>
      </c>
      <c r="E8" s="6" t="n">
        <v>126</v>
      </c>
      <c r="F8" s="8" t="n">
        <f aca="false">D8-E8</f>
        <v>0</v>
      </c>
      <c r="G8" s="8" t="n">
        <f aca="false">C8-E8</f>
        <v>0</v>
      </c>
      <c r="H8" s="11" t="n">
        <f aca="false">E8/D8</f>
        <v>1</v>
      </c>
      <c r="I8" s="11" t="n">
        <f aca="false">E8/C8</f>
        <v>1</v>
      </c>
      <c r="J8" s="12" t="n">
        <v>12546.5</v>
      </c>
      <c r="K8" s="12" t="n">
        <v>12546.5</v>
      </c>
    </row>
    <row r="9" customFormat="false" ht="15" hidden="false" customHeight="false" outlineLevel="0" collapsed="false">
      <c r="A9" s="9" t="s">
        <v>888</v>
      </c>
      <c r="C9" s="15" t="n">
        <f aca="false">SUM(C5:C8)</f>
        <v>1731</v>
      </c>
      <c r="D9" s="15" t="n">
        <f aca="false">SUM(D5:D8)</f>
        <v>1731</v>
      </c>
      <c r="E9" s="15" t="n">
        <f aca="false">SUM(E5:E8)</f>
        <v>1731</v>
      </c>
      <c r="F9" s="15" t="n">
        <f aca="false">SUM(F5:F8)</f>
        <v>0</v>
      </c>
      <c r="G9" s="15" t="n">
        <f aca="false">SUM(G5:G8)</f>
        <v>0</v>
      </c>
      <c r="J9" s="15" t="n">
        <f aca="false">SUM(J5:J8)</f>
        <v>135634.6</v>
      </c>
      <c r="K9" s="15" t="n">
        <f aca="false">SUM(K5:K8)</f>
        <v>135634.6</v>
      </c>
    </row>
    <row r="11" customFormat="false" ht="15" hidden="false" customHeight="false" outlineLevel="0" collapsed="false">
      <c r="A11" s="5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890</v>
      </c>
    </row>
    <row r="2" customFormat="false" ht="15" hidden="false" customHeight="false" outlineLevel="0" collapsed="false">
      <c r="A2" s="2" t="s">
        <v>891</v>
      </c>
    </row>
    <row r="4" customFormat="false" ht="15" hidden="false" customHeight="false" outlineLevel="0" collapsed="false">
      <c r="A4" s="4" t="s">
        <v>892</v>
      </c>
      <c r="B4" s="4" t="s">
        <v>893</v>
      </c>
      <c r="C4" s="4" t="s">
        <v>146</v>
      </c>
      <c r="D4" s="4" t="s">
        <v>25</v>
      </c>
      <c r="E4" s="4" t="s">
        <v>894</v>
      </c>
      <c r="F4" s="4" t="s">
        <v>895</v>
      </c>
    </row>
    <row r="5" customFormat="false" ht="15" hidden="false" customHeight="false" outlineLevel="0" collapsed="false">
      <c r="A5" s="5" t="s">
        <v>880</v>
      </c>
      <c r="B5" s="5" t="s">
        <v>896</v>
      </c>
      <c r="C5" s="5" t="s">
        <v>897</v>
      </c>
      <c r="D5" s="12" t="n">
        <v>61000</v>
      </c>
      <c r="E5" s="5" t="s">
        <v>898</v>
      </c>
      <c r="F5" s="5" t="s">
        <v>899</v>
      </c>
    </row>
    <row r="6" customFormat="false" ht="15" hidden="false" customHeight="false" outlineLevel="0" collapsed="false">
      <c r="A6" s="5" t="s">
        <v>882</v>
      </c>
      <c r="B6" s="5" t="s">
        <v>900</v>
      </c>
      <c r="C6" s="5" t="s">
        <v>897</v>
      </c>
      <c r="D6" s="12" t="n">
        <v>38000</v>
      </c>
      <c r="E6" s="5" t="s">
        <v>898</v>
      </c>
      <c r="F6" s="5" t="s">
        <v>901</v>
      </c>
    </row>
    <row r="7" customFormat="false" ht="15" hidden="false" customHeight="false" outlineLevel="0" collapsed="false">
      <c r="A7" s="5" t="s">
        <v>884</v>
      </c>
      <c r="B7" s="5" t="s">
        <v>902</v>
      </c>
      <c r="C7" s="5" t="s">
        <v>897</v>
      </c>
      <c r="D7" s="12" t="n">
        <v>24088.1</v>
      </c>
      <c r="E7" s="5" t="s">
        <v>903</v>
      </c>
      <c r="F7" s="5" t="s">
        <v>904</v>
      </c>
    </row>
    <row r="8" customFormat="false" ht="15" hidden="false" customHeight="false" outlineLevel="0" collapsed="false">
      <c r="A8" s="5" t="s">
        <v>886</v>
      </c>
      <c r="B8" s="5" t="s">
        <v>905</v>
      </c>
      <c r="C8" s="5" t="s">
        <v>897</v>
      </c>
      <c r="D8" s="12" t="n">
        <v>12546.5</v>
      </c>
      <c r="E8" s="5" t="s">
        <v>903</v>
      </c>
      <c r="F8" s="5" t="s">
        <v>906</v>
      </c>
    </row>
    <row r="9" customFormat="false" ht="15" hidden="false" customHeight="false" outlineLevel="0" collapsed="false">
      <c r="A9" s="5" t="s">
        <v>907</v>
      </c>
      <c r="B9" s="5" t="s">
        <v>908</v>
      </c>
      <c r="C9" s="5" t="s">
        <v>909</v>
      </c>
      <c r="D9" s="12" t="n">
        <v>105000</v>
      </c>
      <c r="E9" s="5" t="s">
        <v>898</v>
      </c>
      <c r="F9" s="5" t="s">
        <v>910</v>
      </c>
    </row>
    <row r="11" customFormat="false" ht="15" hidden="false" customHeight="false" outlineLevel="0" collapsed="false">
      <c r="A11" s="9" t="s">
        <v>911</v>
      </c>
      <c r="D11" s="15" t="n">
        <f aca="false">SUMIF(E5:E9,"Corrigida",D5:D9)</f>
        <v>36634.6</v>
      </c>
      <c r="E11" s="11" t="n">
        <f aca="false">D11/Materialidade!B12</f>
        <v>0.0626132939549781</v>
      </c>
    </row>
    <row r="12" customFormat="false" ht="15" hidden="false" customHeight="false" outlineLevel="0" collapsed="false">
      <c r="A12" s="9" t="s">
        <v>912</v>
      </c>
      <c r="D12" s="15" t="n">
        <f aca="false">SUMIF(E5:E9,"Nao corrigida",D5:D9)</f>
        <v>204000</v>
      </c>
      <c r="E12" s="11" t="n">
        <f aca="false">D12/Materialidade!B12</f>
        <v>0.348662520317283</v>
      </c>
      <c r="F12" s="5" t="s">
        <v>115</v>
      </c>
    </row>
    <row r="13" customFormat="false" ht="15" hidden="false" customHeight="false" outlineLevel="0" collapsed="false">
      <c r="A13" s="5" t="s">
        <v>913</v>
      </c>
      <c r="D13" s="11" t="n">
        <f aca="false">D12/Materialidade!B14</f>
        <v>0.498089436353204</v>
      </c>
    </row>
    <row r="14" customFormat="false" ht="15" hidden="false" customHeight="false" outlineLevel="0" collapsed="false">
      <c r="A14" s="5" t="s">
        <v>914</v>
      </c>
      <c r="D14" s="11" t="n">
        <f aca="false">D12/Materialidade!B5</f>
        <v>0.0174331394238399</v>
      </c>
    </row>
    <row r="15" customFormat="false" ht="15" hidden="false" customHeight="false" outlineLevel="0" collapsed="false">
      <c r="A15" s="5" t="s">
        <v>915</v>
      </c>
      <c r="D15" s="5" t="n">
        <f aca="false">COUNTIF(D5:D9,"&gt;"&amp;Materialidade!B16)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2026-10-23T01:47:57Z</dcterms:created>
  <dc:creator>openpyxl</dc:creator>
  <dc:description/>
  <dc:language>en-US</dc:language>
  <cp:lastModifiedBy/>
  <dcterms:modified xsi:type="dcterms:W3CDTF">2026-10-23T01:47:57Z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